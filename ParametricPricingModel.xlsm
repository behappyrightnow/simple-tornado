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614" codeName="{BFB45374-4EC8-2080-32AF-602F8B743B4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somikraha/Downloads/"/>
    </mc:Choice>
  </mc:AlternateContent>
  <xr:revisionPtr revIDLastSave="0" documentId="13_ncr:1_{086B42D0-AAFD-1E47-ADB2-CD6559C30CFF}" xr6:coauthVersionLast="45" xr6:coauthVersionMax="45" xr10:uidLastSave="{00000000-0000-0000-0000-000000000000}"/>
  <bookViews>
    <workbookView xWindow="0" yWindow="460" windowWidth="33600" windowHeight="19460" xr2:uid="{00000000-000D-0000-FFFF-FFFF00000000}"/>
  </bookViews>
  <sheets>
    <sheet name="License" sheetId="4" r:id="rId1"/>
    <sheet name="Tornado" sheetId="1" r:id="rId2"/>
    <sheet name="PricingStrategies" sheetId="6" r:id="rId3"/>
    <sheet name="PricingModel" sheetId="5" r:id="rId4"/>
  </sheets>
  <functionGroups builtInGroupCount="19"/>
  <definedNames>
    <definedName name="cHigh">Tornado!$P$57</definedName>
    <definedName name="cLow">Tornado!$N$57</definedName>
    <definedName name="cMed">Tornado!$O$57</definedName>
    <definedName name="costPerUnit">Tornado!$B$21</definedName>
    <definedName name="currentStrategyName">Tornado!$I$7</definedName>
    <definedName name="discountRate">PricingModel!$C$6</definedName>
    <definedName name="dist">Tornado!$AK$12:$AL$93</definedName>
    <definedName name="ebitdaSeries">PricingModel!$C$21:$AG$21</definedName>
    <definedName name="factor1">Tornado!$AG$11</definedName>
    <definedName name="factor2">Tornado!$AH$11</definedName>
    <definedName name="factor3">Tornado!$AI$11</definedName>
    <definedName name="factor4">Tornado!$AJ$11</definedName>
    <definedName name="factorLocations">Tornado!$AG$10:$AJ$10</definedName>
    <definedName name="launchYear">PricingModel!$C$4</definedName>
    <definedName name="marketGrowthRate">Tornado!$B$14</definedName>
    <definedName name="marketShareSeries">PricingModel!$C$12:$AG$12</definedName>
    <definedName name="modelStartYear">PricingModel!$C$3</definedName>
    <definedName name="netMarginSeries">PricingModel!$C$19:$AG$19</definedName>
    <definedName name="npvOfEBITDA">PricingModel!$C$23</definedName>
    <definedName name="opCostSeries">PricingModel!$C$16:$AG$16</definedName>
    <definedName name="opMarginSeries">PricingModel!$C$17:$AG$17</definedName>
    <definedName name="opRevenueSeries">PricingModel!$C$15:$AG$15</definedName>
    <definedName name="output">Tornado!$C$4</definedName>
    <definedName name="pasteLoc">Tornado!$AN$12</definedName>
    <definedName name="peakMarketDuration">Tornado!$B$18</definedName>
    <definedName name="peakMktShare">Tornado!$B$16</definedName>
    <definedName name="penetratedTAMSeries">PricingModel!$C$11:$AG$11</definedName>
    <definedName name="penetration">Tornado!$B$15</definedName>
    <definedName name="priceChangeYrOnYr">Tornado!$B$20</definedName>
    <definedName name="pricePerUnit">Tornado!$B$19</definedName>
    <definedName name="pricePerUnitSeries">PricingModel!$C$14:$AG$14</definedName>
    <definedName name="rampToPeak">Tornado!$B$17</definedName>
    <definedName name="selectedPricingStrategy">Tornado!$F$4</definedName>
    <definedName name="sgAndA">Tornado!$B$22</definedName>
    <definedName name="sgAndASeries">PricingModel!$C$18:$AG$18</definedName>
    <definedName name="sixStrategies">PricingStrategies!$D$3:$W$14</definedName>
    <definedName name="sortTable">Tornado!$AN$12:$AO$93</definedName>
    <definedName name="tam">Tornado!$B$13</definedName>
    <definedName name="tamSeries">PricingModel!$C$10:$AG$10</definedName>
    <definedName name="taxesSeries">PricingModel!$C$20:$AG$20</definedName>
    <definedName name="taxRate">PricingModel!$C$5</definedName>
    <definedName name="tornadoInputTable">Tornado!$A$12:$G$38</definedName>
    <definedName name="tornadoOutputTable">Tornado!$T$12:$AC$24</definedName>
    <definedName name="treeTable">Tornado!$AG$12:$AL$93</definedName>
    <definedName name="unitsOfOutput">Tornado!$D$4</definedName>
    <definedName name="unitsSoldSeries">PricingModel!$C$13:$AG$13</definedName>
    <definedName name="year">PricingModel!$C$9:$AG$9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6" l="1"/>
  <c r="B8" i="6"/>
  <c r="B7" i="6"/>
  <c r="B6" i="6"/>
  <c r="B5" i="6"/>
  <c r="B4" i="6"/>
  <c r="C9" i="5" l="1"/>
  <c r="D9" i="5" s="1"/>
  <c r="E9" i="5" l="1"/>
  <c r="F9" i="5" s="1"/>
  <c r="G9" i="5" s="1"/>
  <c r="H9" i="5" s="1"/>
  <c r="I9" i="5" s="1"/>
  <c r="J9" i="5" s="1"/>
  <c r="K9" i="5" s="1"/>
  <c r="L9" i="5" s="1"/>
  <c r="M9" i="5" s="1"/>
  <c r="N9" i="5" s="1"/>
  <c r="O9" i="5" s="1"/>
  <c r="P9" i="5" s="1"/>
  <c r="Q9" i="5" s="1"/>
  <c r="R9" i="5" s="1"/>
  <c r="S9" i="5" s="1"/>
  <c r="T9" i="5" s="1"/>
  <c r="U9" i="5" s="1"/>
  <c r="V9" i="5" s="1"/>
  <c r="W9" i="5" s="1"/>
  <c r="X9" i="5" s="1"/>
  <c r="Y9" i="5" s="1"/>
  <c r="Z9" i="5" s="1"/>
  <c r="AA9" i="5" s="1"/>
  <c r="AB9" i="5" s="1"/>
  <c r="AC9" i="5" s="1"/>
  <c r="AD9" i="5" s="1"/>
  <c r="AE9" i="5" s="1"/>
  <c r="AF9" i="5" s="1"/>
  <c r="AG9" i="5" s="1"/>
  <c r="B13" i="1"/>
  <c r="B14" i="1"/>
  <c r="B15" i="1"/>
  <c r="B16" i="1"/>
  <c r="B17" i="1"/>
  <c r="B18" i="1"/>
  <c r="B19" i="1"/>
  <c r="AP13" i="1"/>
  <c r="AP14" i="1" s="1"/>
  <c r="AP15" i="1" s="1"/>
  <c r="AP16" i="1" s="1"/>
  <c r="AP17" i="1" s="1"/>
  <c r="AP18" i="1" s="1"/>
  <c r="AP19" i="1" s="1"/>
  <c r="AP20" i="1" s="1"/>
  <c r="AP21" i="1" s="1"/>
  <c r="AQ24" i="1"/>
  <c r="AQ23" i="1"/>
  <c r="AQ14" i="1"/>
  <c r="AQ15" i="1"/>
  <c r="AQ16" i="1"/>
  <c r="AQ17" i="1"/>
  <c r="AQ18" i="1"/>
  <c r="AQ19" i="1"/>
  <c r="AQ20" i="1"/>
  <c r="AQ21" i="1"/>
  <c r="AQ22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13" i="1"/>
  <c r="AJ10" i="1"/>
  <c r="AI10" i="1"/>
  <c r="AH10" i="1"/>
  <c r="AG10" i="1"/>
  <c r="D10" i="1"/>
  <c r="C10" i="1"/>
  <c r="L56" i="1" s="1"/>
  <c r="B22" i="1"/>
  <c r="B20" i="1"/>
  <c r="B21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AK79" i="1"/>
  <c r="AK50" i="1"/>
  <c r="AK45" i="1"/>
  <c r="AK15" i="1"/>
  <c r="AK14" i="1"/>
  <c r="AK89" i="1"/>
  <c r="AK87" i="1"/>
  <c r="AK60" i="1"/>
  <c r="AK64" i="1"/>
  <c r="AK46" i="1"/>
  <c r="AK93" i="1"/>
  <c r="AK33" i="1"/>
  <c r="AK59" i="1"/>
  <c r="AK90" i="1"/>
  <c r="AK44" i="1"/>
  <c r="AK61" i="1"/>
  <c r="AK36" i="1"/>
  <c r="AK42" i="1"/>
  <c r="AK53" i="1"/>
  <c r="AK83" i="1"/>
  <c r="AK25" i="1"/>
  <c r="AK57" i="1"/>
  <c r="AK49" i="1"/>
  <c r="AK80" i="1"/>
  <c r="AK35" i="1"/>
  <c r="AK43" i="1"/>
  <c r="AK28" i="1"/>
  <c r="AK55" i="1"/>
  <c r="AK68" i="1"/>
  <c r="AK19" i="1"/>
  <c r="AK40" i="1"/>
  <c r="AK30" i="1"/>
  <c r="AK18" i="1"/>
  <c r="AK69" i="1"/>
  <c r="AK85" i="1"/>
  <c r="AK38" i="1"/>
  <c r="AK54" i="1"/>
  <c r="AK82" i="1"/>
  <c r="AK13" i="1"/>
  <c r="AK24" i="1"/>
  <c r="AK65" i="1"/>
  <c r="AK78" i="1"/>
  <c r="AK52" i="1"/>
  <c r="AK27" i="1"/>
  <c r="AK58" i="1"/>
  <c r="AK23" i="1"/>
  <c r="AK62" i="1"/>
  <c r="AK26" i="1"/>
  <c r="AK21" i="1"/>
  <c r="AK34" i="1"/>
  <c r="AK63" i="1"/>
  <c r="AK76" i="1"/>
  <c r="AK32" i="1"/>
  <c r="AK20" i="1"/>
  <c r="AK84" i="1"/>
  <c r="AK48" i="1"/>
  <c r="AK88" i="1"/>
  <c r="AK66" i="1"/>
  <c r="AK73" i="1"/>
  <c r="AK67" i="1"/>
  <c r="AK37" i="1"/>
  <c r="AK31" i="1"/>
  <c r="AK75" i="1"/>
  <c r="AK91" i="1"/>
  <c r="AK70" i="1"/>
  <c r="AK22" i="1"/>
  <c r="AK29" i="1"/>
  <c r="AK77" i="1"/>
  <c r="AK41" i="1"/>
  <c r="AK16" i="1"/>
  <c r="AK74" i="1"/>
  <c r="AK86" i="1"/>
  <c r="AK17" i="1"/>
  <c r="AK72" i="1"/>
  <c r="AK71" i="1"/>
  <c r="AK51" i="1"/>
  <c r="AK56" i="1"/>
  <c r="AK92" i="1"/>
  <c r="AK81" i="1"/>
  <c r="AK47" i="1"/>
  <c r="AK39" i="1"/>
  <c r="C12" i="5" l="1" a="1"/>
  <c r="C12" i="5" s="1"/>
  <c r="C14" i="5" a="1"/>
  <c r="C14" i="5" s="1"/>
  <c r="C10" i="5" a="1"/>
  <c r="C10" i="5" s="1"/>
  <c r="C11" i="5" s="1" a="1"/>
  <c r="C11" i="5" s="1"/>
  <c r="AP22" i="1"/>
  <c r="AP23" i="1" s="1"/>
  <c r="AP24" i="1" s="1"/>
  <c r="AP25" i="1" s="1"/>
  <c r="AP26" i="1" s="1"/>
  <c r="AP27" i="1" s="1"/>
  <c r="AP28" i="1" s="1"/>
  <c r="AP29" i="1" s="1"/>
  <c r="AP30" i="1" s="1"/>
  <c r="AP31" i="1" s="1"/>
  <c r="AP32" i="1" s="1"/>
  <c r="AP33" i="1" s="1"/>
  <c r="AP34" i="1" s="1"/>
  <c r="AP35" i="1" s="1"/>
  <c r="AP36" i="1" s="1"/>
  <c r="AP37" i="1" s="1"/>
  <c r="AP38" i="1" s="1"/>
  <c r="AP39" i="1" s="1"/>
  <c r="AP40" i="1" s="1"/>
  <c r="AP41" i="1" s="1"/>
  <c r="AP42" i="1" s="1"/>
  <c r="AP43" i="1" s="1"/>
  <c r="AP44" i="1" s="1"/>
  <c r="AP45" i="1" s="1"/>
  <c r="AP46" i="1" s="1"/>
  <c r="AP47" i="1" s="1"/>
  <c r="AP48" i="1" s="1"/>
  <c r="AP49" i="1" s="1"/>
  <c r="AP50" i="1" s="1"/>
  <c r="AP51" i="1" s="1"/>
  <c r="AP52" i="1" s="1"/>
  <c r="AP53" i="1" s="1"/>
  <c r="L64" i="1"/>
  <c r="L65" i="1" s="1"/>
  <c r="C13" i="5" l="1" a="1"/>
  <c r="C13" i="5" s="1"/>
  <c r="C16" i="5" s="1" a="1"/>
  <c r="C16" i="5" s="1"/>
  <c r="N57" i="1"/>
  <c r="L67" i="1" s="1"/>
  <c r="L68" i="1" s="1"/>
  <c r="AP54" i="1"/>
  <c r="AP55" i="1" s="1"/>
  <c r="AP56" i="1" s="1"/>
  <c r="AP57" i="1" s="1"/>
  <c r="AP58" i="1" s="1"/>
  <c r="AP59" i="1" s="1"/>
  <c r="AP60" i="1" s="1"/>
  <c r="AP61" i="1" s="1"/>
  <c r="AP62" i="1" s="1"/>
  <c r="AP63" i="1" s="1"/>
  <c r="AP64" i="1" s="1"/>
  <c r="AP65" i="1" s="1"/>
  <c r="AP66" i="1" s="1"/>
  <c r="AP67" i="1" s="1"/>
  <c r="AP68" i="1" s="1"/>
  <c r="AP69" i="1" s="1"/>
  <c r="AP70" i="1" s="1"/>
  <c r="AP71" i="1" s="1"/>
  <c r="AP72" i="1" s="1"/>
  <c r="AP73" i="1" s="1"/>
  <c r="AP74" i="1" s="1"/>
  <c r="AP75" i="1" s="1"/>
  <c r="AP76" i="1" s="1"/>
  <c r="AP77" i="1" s="1"/>
  <c r="AP78" i="1" s="1"/>
  <c r="AP79" i="1" s="1"/>
  <c r="AP80" i="1" s="1"/>
  <c r="AP81" i="1" s="1"/>
  <c r="AP82" i="1" s="1"/>
  <c r="AP83" i="1" s="1"/>
  <c r="AP84" i="1" s="1"/>
  <c r="AP85" i="1" s="1"/>
  <c r="AP86" i="1" s="1"/>
  <c r="AP87" i="1" s="1"/>
  <c r="AP88" i="1" s="1"/>
  <c r="AP89" i="1" s="1"/>
  <c r="AP90" i="1" s="1"/>
  <c r="AP91" i="1" s="1"/>
  <c r="AP92" i="1" s="1"/>
  <c r="AP93" i="1" s="1"/>
  <c r="M79" i="1" l="1"/>
  <c r="N79" i="1" s="1"/>
  <c r="O57" i="1"/>
  <c r="L70" i="1" s="1"/>
  <c r="L71" i="1" s="1"/>
  <c r="C15" i="5" a="1"/>
  <c r="C15" i="5" s="1"/>
  <c r="C18" i="5" s="1" a="1"/>
  <c r="C18" i="5" s="1"/>
  <c r="P57" i="1"/>
  <c r="L73" i="1" s="1"/>
  <c r="L74" i="1" s="1"/>
  <c r="C17" i="5" l="1" a="1"/>
  <c r="C17" i="5" s="1"/>
  <c r="C19" i="5" s="1" a="1"/>
  <c r="C19" i="5" s="1"/>
  <c r="C20" i="5" s="1" a="1"/>
  <c r="C20" i="5" s="1"/>
  <c r="C21" i="5" s="1" a="1"/>
  <c r="C21" i="5" s="1"/>
  <c r="C23" i="5" s="1"/>
  <c r="C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<sst xmlns="http://schemas.openxmlformats.org/spreadsheetml/2006/main" count="500" uniqueCount="95">
  <si>
    <t>Low</t>
  </si>
  <si>
    <t>Med</t>
  </si>
  <si>
    <t>High</t>
  </si>
  <si>
    <t>Factor</t>
  </si>
  <si>
    <t>Value Calculation</t>
  </si>
  <si>
    <t>Index</t>
  </si>
  <si>
    <t>Value in Use</t>
  </si>
  <si>
    <t>ONLY CHANGE GREEN CELLS</t>
  </si>
  <si>
    <t>Swing</t>
  </si>
  <si>
    <t>Swing^2</t>
  </si>
  <si>
    <t>Units</t>
  </si>
  <si>
    <t>millions of dollars</t>
  </si>
  <si>
    <t>Give human-readable names for each factor.</t>
  </si>
  <si>
    <t xml:space="preserve"> E.g. A = Recurring Revenue, B = Duration of Revenue</t>
  </si>
  <si>
    <t>INPUT</t>
  </si>
  <si>
    <t>VALUE</t>
  </si>
  <si>
    <t>Notes</t>
  </si>
  <si>
    <t>You can have different tornados setup on different pages.</t>
  </si>
  <si>
    <t xml:space="preserve">© Somik Raha </t>
  </si>
  <si>
    <t>Want more Tornados? Simply copy the Tornados worksheet, call it anything you like.</t>
  </si>
  <si>
    <t>CALCULATIONS</t>
  </si>
  <si>
    <t>Joint</t>
  </si>
  <si>
    <t>Value</t>
  </si>
  <si>
    <t>F1</t>
  </si>
  <si>
    <t>F2</t>
  </si>
  <si>
    <t>F3</t>
  </si>
  <si>
    <t>F4</t>
  </si>
  <si>
    <t>Mean</t>
  </si>
  <si>
    <t>Cume</t>
  </si>
  <si>
    <t>Base</t>
  </si>
  <si>
    <t>Combined Uncertainty</t>
  </si>
  <si>
    <t>Query</t>
  </si>
  <si>
    <t>P(X&lt;Value)</t>
  </si>
  <si>
    <t>P(X&gt;Value)</t>
  </si>
  <si>
    <t>Model Start Year</t>
  </si>
  <si>
    <t>Launch Year</t>
  </si>
  <si>
    <t>Tax Rate</t>
  </si>
  <si>
    <t>Discount Rate</t>
  </si>
  <si>
    <t>modelStartYear</t>
  </si>
  <si>
    <t>launchYear</t>
  </si>
  <si>
    <t>taxRate</t>
  </si>
  <si>
    <t>discountRate</t>
  </si>
  <si>
    <t>Total Addressable Market</t>
  </si>
  <si>
    <t>M units</t>
  </si>
  <si>
    <t>Market Growth Rate</t>
  </si>
  <si>
    <t>%</t>
  </si>
  <si>
    <t>Penetration</t>
  </si>
  <si>
    <t>Peak Market Share</t>
  </si>
  <si>
    <t>Ramp to Peak Market Share</t>
  </si>
  <si>
    <t>years</t>
  </si>
  <si>
    <t>Peak Market Duration</t>
  </si>
  <si>
    <t>Price Per Unit</t>
  </si>
  <si>
    <t>$</t>
  </si>
  <si>
    <t>Price change year-on-year</t>
  </si>
  <si>
    <t>Cost Per unit</t>
  </si>
  <si>
    <t>SG&amp;A</t>
  </si>
  <si>
    <t>TAM (M units)</t>
  </si>
  <si>
    <t>Penetrated TAM (M units)</t>
  </si>
  <si>
    <t>Market Share (%)</t>
  </si>
  <si>
    <t>Units Sold (M units)</t>
  </si>
  <si>
    <t>Price / unit</t>
  </si>
  <si>
    <t>Op. Revenue ($M)</t>
  </si>
  <si>
    <t>Op. Cost ($M)</t>
  </si>
  <si>
    <t>Op. Margin ($M)</t>
  </si>
  <si>
    <t>Net Margin</t>
  </si>
  <si>
    <t>Taxes</t>
  </si>
  <si>
    <t>EBITDA</t>
  </si>
  <si>
    <t>NPV of EBITDA</t>
  </si>
  <si>
    <t>VALUE PRICING</t>
  </si>
  <si>
    <t>COMMODITY PRICING</t>
  </si>
  <si>
    <t>STRATEGIES</t>
  </si>
  <si>
    <t>PRICING STRATEGY</t>
  </si>
  <si>
    <t>LOW</t>
  </si>
  <si>
    <t>MED</t>
  </si>
  <si>
    <t>HIGH</t>
  </si>
  <si>
    <t>STRATEGY 4</t>
  </si>
  <si>
    <t>STRATEGY 5</t>
  </si>
  <si>
    <t>STRATEGY 6</t>
  </si>
  <si>
    <t>FACTORS</t>
  </si>
  <si>
    <t>UNITS</t>
  </si>
  <si>
    <t>COMMODITY PRICING (COST CONTROLLED)</t>
  </si>
  <si>
    <t>STRATEGY SELECTED:</t>
  </si>
  <si>
    <t>Parametric Pricing Model</t>
  </si>
  <si>
    <t>v2</t>
  </si>
  <si>
    <t>Copyright 2020 Somik Raha</t>
  </si>
  <si>
    <t xml:space="preserve">Permission is hereby granted, free of charge, to any person obtaining a copy of this software and associated documentation files (the "Software"), </t>
  </si>
  <si>
    <t xml:space="preserve">to deal in the Software without restriction, including without limitation the rights to use, copy, modify, merge, publish, distribute, sublicense, </t>
  </si>
  <si>
    <t>and/or sell copies of the Software, and to permit persons to whom the Software is furnished to do so, subject to the following conditions:</t>
  </si>
  <si>
    <t>and to permit persons to whom the Software is furnished to do so, subject to the following conditions:</t>
  </si>
  <si>
    <t>The above copyright notice and this permission notice shall be included in all copies or substantial portions of the Software.</t>
  </si>
  <si>
    <t xml:space="preserve">THE SOFTWARE IS PROVIDED "AS IS", WITHOUT WARRANTY OF ANY KIND, EXPRESS OR IMPLIED, INCLUDING BUT NOT LIMITED TO </t>
  </si>
  <si>
    <t xml:space="preserve">THE WARRANTIES OF MERCHANTABILITY, FITNESS FOR A PARTICULAR PURPOSE AND NONINFRINGEMENT. </t>
  </si>
  <si>
    <t xml:space="preserve">IN NO EVENT SHALL THE AUTHORS OR COPYRIGHT HOLDERS BE LIABLE FOR ANY CLAIM, DAMAGES OR OTHER LIABILITY, </t>
  </si>
  <si>
    <t>WHETHER IN AN ACTION OF CONTRACT, TORT OR OTHERWISE, ARISING FROM, OUT OF OR IN CONNECTION WITH THE SOFTWARE OR THE USE OR OTHER DEALINGS IN THE SOFTWARE.</t>
  </si>
  <si>
    <t>License: MIT License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</si>
</sst>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8" formatCode="&quot;$&quot;#,##0.00_);[Red]\(&quot;$&quot;#,##0.00\)"/>
    <numFmt numFmtId="164" formatCode="&quot;$&quot;#,##0"/>
    <numFmt numFmtId="165" formatCode="&quot;$&quot;#,##0.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4"/>
      <color rgb="FF444444"/>
      <name val="Arial"/>
      <family val="2"/>
    </font>
    <font>
      <sz val="14"/>
      <color rgb="FF444444"/>
      <name val="Arial"/>
      <family val="2"/>
    </font>
    <font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4D79B"/>
        <bgColor rgb="FF000000"/>
      </patternFill>
    </fill>
    <fill>
      <patternFill patternType="solid">
        <fgColor theme="0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8">
    <xf numFmtId="0" fontId="0" fillId="0" borderId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96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1" xfId="0" applyFill="1" applyBorder="1"/>
    <xf numFmtId="0" fontId="1" fillId="2" borderId="2" xfId="0" applyFont="1" applyFill="1" applyBorder="1" applyAlignment="1">
      <alignment horizontal="center"/>
    </xf>
    <xf numFmtId="0" fontId="0" fillId="2" borderId="3" xfId="0" applyFill="1" applyBorder="1"/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" fillId="2" borderId="2" xfId="0" applyFont="1" applyFill="1" applyBorder="1"/>
    <xf numFmtId="0" fontId="0" fillId="2" borderId="2" xfId="0" applyFill="1" applyBorder="1"/>
    <xf numFmtId="0" fontId="0" fillId="2" borderId="4" xfId="0" applyFill="1" applyBorder="1"/>
    <xf numFmtId="0" fontId="0" fillId="3" borderId="0" xfId="0" applyFill="1" applyAlignment="1">
      <alignment horizontal="center"/>
    </xf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2" borderId="0" xfId="0" applyFont="1" applyFill="1" applyAlignment="1">
      <alignment horizontal="center"/>
    </xf>
    <xf numFmtId="7" fontId="0" fillId="2" borderId="0" xfId="0" applyNumberFormat="1" applyFill="1"/>
    <xf numFmtId="0" fontId="0" fillId="2" borderId="0" xfId="0" applyFont="1" applyFill="1" applyAlignment="1">
      <alignment horizontal="right"/>
    </xf>
    <xf numFmtId="9" fontId="0" fillId="2" borderId="0" xfId="0" applyNumberFormat="1" applyFill="1"/>
    <xf numFmtId="0" fontId="0" fillId="2" borderId="0" xfId="0" applyFill="1" applyBorder="1"/>
    <xf numFmtId="0" fontId="0" fillId="2" borderId="7" xfId="0" applyFill="1" applyBorder="1"/>
    <xf numFmtId="164" fontId="0" fillId="2" borderId="0" xfId="0" applyNumberFormat="1" applyFill="1"/>
    <xf numFmtId="0" fontId="0" fillId="4" borderId="0" xfId="0" applyFill="1"/>
    <xf numFmtId="10" fontId="0" fillId="2" borderId="0" xfId="1" applyNumberFormat="1" applyFont="1" applyFill="1"/>
    <xf numFmtId="10" fontId="0" fillId="2" borderId="0" xfId="0" applyNumberFormat="1" applyFill="1"/>
    <xf numFmtId="0" fontId="10" fillId="2" borderId="0" xfId="0" applyFont="1" applyFill="1"/>
    <xf numFmtId="0" fontId="10" fillId="5" borderId="0" xfId="0" applyFont="1" applyFill="1"/>
    <xf numFmtId="9" fontId="10" fillId="5" borderId="0" xfId="0" applyNumberFormat="1" applyFont="1" applyFill="1"/>
    <xf numFmtId="9" fontId="0" fillId="3" borderId="0" xfId="0" applyNumberFormat="1" applyFill="1" applyBorder="1" applyAlignment="1">
      <alignment horizontal="center"/>
    </xf>
    <xf numFmtId="9" fontId="0" fillId="3" borderId="0" xfId="0" applyNumberFormat="1" applyFill="1" applyAlignment="1">
      <alignment horizontal="center"/>
    </xf>
    <xf numFmtId="1" fontId="0" fillId="2" borderId="0" xfId="0" applyNumberFormat="1" applyFill="1" applyBorder="1"/>
    <xf numFmtId="1" fontId="0" fillId="2" borderId="12" xfId="0" applyNumberFormat="1" applyFill="1" applyBorder="1"/>
    <xf numFmtId="9" fontId="0" fillId="2" borderId="0" xfId="1" applyFont="1" applyFill="1" applyBorder="1"/>
    <xf numFmtId="9" fontId="0" fillId="2" borderId="12" xfId="1" applyFont="1" applyFill="1" applyBorder="1"/>
    <xf numFmtId="165" fontId="0" fillId="2" borderId="0" xfId="0" applyNumberFormat="1" applyFill="1" applyBorder="1"/>
    <xf numFmtId="165" fontId="0" fillId="2" borderId="12" xfId="0" applyNumberFormat="1" applyFill="1" applyBorder="1"/>
    <xf numFmtId="164" fontId="0" fillId="2" borderId="0" xfId="0" applyNumberFormat="1" applyFill="1" applyBorder="1"/>
    <xf numFmtId="164" fontId="0" fillId="2" borderId="12" xfId="0" applyNumberFormat="1" applyFill="1" applyBorder="1"/>
    <xf numFmtId="164" fontId="0" fillId="2" borderId="14" xfId="0" applyNumberFormat="1" applyFill="1" applyBorder="1"/>
    <xf numFmtId="164" fontId="0" fillId="2" borderId="15" xfId="0" applyNumberFormat="1" applyFill="1" applyBorder="1"/>
    <xf numFmtId="0" fontId="1" fillId="2" borderId="11" xfId="0" applyFont="1" applyFill="1" applyBorder="1"/>
    <xf numFmtId="0" fontId="1" fillId="2" borderId="13" xfId="0" applyFont="1" applyFill="1" applyBorder="1"/>
    <xf numFmtId="0" fontId="0" fillId="2" borderId="16" xfId="0" applyFill="1" applyBorder="1"/>
    <xf numFmtId="0" fontId="1" fillId="2" borderId="17" xfId="0" applyFont="1" applyFill="1" applyBorder="1"/>
    <xf numFmtId="0" fontId="1" fillId="2" borderId="18" xfId="0" applyFont="1" applyFill="1" applyBorder="1"/>
    <xf numFmtId="0" fontId="11" fillId="2" borderId="16" xfId="0" applyFont="1" applyFill="1" applyBorder="1"/>
    <xf numFmtId="8" fontId="11" fillId="2" borderId="18" xfId="0" applyNumberFormat="1" applyFont="1" applyFill="1" applyBorder="1"/>
    <xf numFmtId="164" fontId="1" fillId="2" borderId="0" xfId="0" applyNumberFormat="1" applyFont="1" applyFill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/>
    <xf numFmtId="164" fontId="0" fillId="2" borderId="13" xfId="0" applyNumberFormat="1" applyFill="1" applyBorder="1" applyAlignment="1">
      <alignment horizontal="center"/>
    </xf>
    <xf numFmtId="0" fontId="0" fillId="2" borderId="20" xfId="0" applyFill="1" applyBorder="1"/>
    <xf numFmtId="0" fontId="0" fillId="2" borderId="21" xfId="0" applyFill="1" applyBorder="1"/>
    <xf numFmtId="0" fontId="2" fillId="2" borderId="19" xfId="0" applyFon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13" fillId="2" borderId="19" xfId="0" applyFont="1" applyFill="1" applyBorder="1" applyAlignment="1"/>
    <xf numFmtId="0" fontId="1" fillId="2" borderId="9" xfId="0" applyFont="1" applyFill="1" applyBorder="1"/>
    <xf numFmtId="0" fontId="0" fillId="2" borderId="22" xfId="0" applyFill="1" applyBorder="1"/>
    <xf numFmtId="0" fontId="0" fillId="2" borderId="10" xfId="0" applyFill="1" applyBorder="1"/>
    <xf numFmtId="0" fontId="12" fillId="6" borderId="11" xfId="0" applyFont="1" applyFill="1" applyBorder="1" applyAlignment="1">
      <alignment horizontal="center"/>
    </xf>
    <xf numFmtId="0" fontId="12" fillId="6" borderId="0" xfId="0" applyFont="1" applyFill="1" applyBorder="1" applyAlignment="1">
      <alignment horizontal="center"/>
    </xf>
    <xf numFmtId="0" fontId="12" fillId="6" borderId="12" xfId="0" applyFont="1" applyFill="1" applyBorder="1" applyAlignment="1">
      <alignment horizontal="center"/>
    </xf>
    <xf numFmtId="9" fontId="12" fillId="6" borderId="11" xfId="0" applyNumberFormat="1" applyFont="1" applyFill="1" applyBorder="1" applyAlignment="1">
      <alignment horizontal="center"/>
    </xf>
    <xf numFmtId="9" fontId="12" fillId="6" borderId="0" xfId="0" applyNumberFormat="1" applyFont="1" applyFill="1" applyBorder="1" applyAlignment="1">
      <alignment horizontal="center"/>
    </xf>
    <xf numFmtId="9" fontId="12" fillId="6" borderId="12" xfId="0" applyNumberFormat="1" applyFont="1" applyFill="1" applyBorder="1" applyAlignment="1">
      <alignment horizontal="center"/>
    </xf>
    <xf numFmtId="9" fontId="12" fillId="6" borderId="13" xfId="0" applyNumberFormat="1" applyFont="1" applyFill="1" applyBorder="1" applyAlignment="1">
      <alignment horizontal="center"/>
    </xf>
    <xf numFmtId="9" fontId="12" fillId="6" borderId="14" xfId="0" applyNumberFormat="1" applyFont="1" applyFill="1" applyBorder="1" applyAlignment="1">
      <alignment horizontal="center"/>
    </xf>
    <xf numFmtId="9" fontId="12" fillId="6" borderId="15" xfId="0" applyNumberFormat="1" applyFont="1" applyFill="1" applyBorder="1" applyAlignment="1">
      <alignment horizontal="center"/>
    </xf>
    <xf numFmtId="0" fontId="1" fillId="2" borderId="9" xfId="0" applyFont="1" applyFill="1" applyBorder="1" applyAlignment="1"/>
    <xf numFmtId="0" fontId="1" fillId="2" borderId="22" xfId="0" applyFont="1" applyFill="1" applyBorder="1" applyAlignment="1"/>
    <xf numFmtId="0" fontId="1" fillId="2" borderId="10" xfId="0" applyFont="1" applyFill="1" applyBorder="1" applyAlignment="1"/>
    <xf numFmtId="0" fontId="0" fillId="2" borderId="9" xfId="0" applyFill="1" applyBorder="1"/>
    <xf numFmtId="0" fontId="12" fillId="7" borderId="11" xfId="0" applyFont="1" applyFill="1" applyBorder="1" applyAlignment="1">
      <alignment horizontal="center"/>
    </xf>
    <xf numFmtId="0" fontId="12" fillId="7" borderId="12" xfId="0" applyFont="1" applyFill="1" applyBorder="1" applyAlignment="1">
      <alignment horizontal="center"/>
    </xf>
    <xf numFmtId="0" fontId="12" fillId="7" borderId="13" xfId="0" applyFont="1" applyFill="1" applyBorder="1" applyAlignment="1">
      <alignment horizontal="center"/>
    </xf>
    <xf numFmtId="0" fontId="12" fillId="7" borderId="15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5" borderId="20" xfId="0" applyFont="1" applyFill="1" applyBorder="1" applyAlignment="1">
      <alignment horizontal="left"/>
    </xf>
    <xf numFmtId="0" fontId="11" fillId="2" borderId="0" xfId="0" applyFont="1" applyFill="1"/>
    <xf numFmtId="0" fontId="15" fillId="2" borderId="0" xfId="0" applyFont="1" applyFill="1"/>
    <xf numFmtId="0" fontId="16" fillId="2" borderId="0" xfId="0" applyFont="1" applyFill="1"/>
    <xf numFmtId="0" fontId="17" fillId="2" borderId="0" xfId="0" applyFont="1" applyFill="1"/>
  </cellXfs>
  <cellStyles count="8">
    <cellStyle name="Followed Hyperlink" xfId="3" builtinId="9" hidden="1"/>
    <cellStyle name="Followed Hyperlink" xfId="5" builtinId="9" hidden="1"/>
    <cellStyle name="Followed Hyperlink" xfId="7" builtinId="9" hidden="1"/>
    <cellStyle name="Hyperlink" xfId="2" builtinId="8" hidden="1"/>
    <cellStyle name="Hyperlink" xfId="4" builtinId="8" hidden="1"/>
    <cellStyle name="Hyperlink" xfId="6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EBITDA</a:t>
            </a:r>
          </a:p>
          <a:p>
            <a:pPr>
              <a:defRPr/>
            </a:pPr>
            <a:r>
              <a:rPr lang="en-US" sz="1400"/>
              <a:t>$M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Tornado!$Y$12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pPr algn="r">
                      <a:defRPr sz="1400"/>
                    </a:pP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EBC-7346-9C98-97A32BBE3C22}"/>
                </c:ext>
              </c:extLst>
            </c:dLbl>
            <c:dLbl>
              <c:idx val="1"/>
              <c:layout>
                <c:manualLayout>
                  <c:x val="-1.5729035467500899E-3"/>
                  <c:y val="-4.7192992398025603E-3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0.08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EEBC-7346-9C98-97A32BBE3C22}"/>
                </c:ext>
              </c:extLst>
            </c:dLbl>
            <c:dLbl>
              <c:idx val="2"/>
              <c:layout>
                <c:manualLayout>
                  <c:x val="-4.7193299911507201E-3"/>
                  <c:y val="0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0.01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EBC-7346-9C98-97A32BBE3C22}"/>
                </c:ext>
              </c:extLst>
            </c:dLbl>
            <c:dLbl>
              <c:idx val="3"/>
              <c:layout>
                <c:manualLayout>
                  <c:x val="-4.7192061209706902E-3"/>
                  <c:y val="0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2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EBC-7346-9C98-97A32BBE3C22}"/>
                </c:ext>
              </c:extLst>
            </c:dLbl>
            <c:dLbl>
              <c:idx val="4"/>
              <c:layout>
                <c:manualLayout>
                  <c:x val="1.2387018008742301E-7"/>
                  <c:y val="0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0.02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EBC-7346-9C98-97A32BBE3C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0.5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EBC-7346-9C98-97A32BBE3C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0.4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EBC-7346-9C98-97A32BBE3C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7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EBC-7346-9C98-97A32BBE3C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/>
                      <a:t>7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EBC-7346-9C98-97A32BBE3C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/>
                      <a:t>125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EEBC-7346-9C98-97A32BBE3C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/>
                      <a:t>0.05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EEBC-7346-9C98-97A32BBE3C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1"/>
              <c:pt idx="0">
                <c:v>Combined Uncertainty</c:v>
              </c:pt>
              <c:pt idx="1">
                <c:v>SG&amp;A</c:v>
              </c:pt>
              <c:pt idx="2">
                <c:v>Price change year-on-year</c:v>
              </c:pt>
              <c:pt idx="3">
                <c:v>Ramp to Peak Market Share</c:v>
              </c:pt>
              <c:pt idx="4">
                <c:v>Market Growth Rate</c:v>
              </c:pt>
              <c:pt idx="5">
                <c:v>Cost Per unit</c:v>
              </c:pt>
              <c:pt idx="6">
                <c:v>Peak Market Share</c:v>
              </c:pt>
              <c:pt idx="7">
                <c:v>Price Per Unit</c:v>
              </c:pt>
              <c:pt idx="8">
                <c:v>Peak Market Duration</c:v>
              </c:pt>
              <c:pt idx="9">
                <c:v>Total Addressable Market</c:v>
              </c:pt>
              <c:pt idx="10">
                <c:v>Penetration</c:v>
              </c:pt>
            </c:strLit>
          </c:cat>
          <c:val>
            <c:numLit>
              <c:formatCode>General</c:formatCode>
              <c:ptCount val="11"/>
              <c:pt idx="0">
                <c:v>106.87</c:v>
              </c:pt>
              <c:pt idx="1">
                <c:v>308.70769999999999</c:v>
              </c:pt>
              <c:pt idx="2">
                <c:v>282.98660000000001</c:v>
              </c:pt>
              <c:pt idx="3">
                <c:v>321.21839999999997</c:v>
              </c:pt>
              <c:pt idx="4">
                <c:v>276.87950000000001</c:v>
              </c:pt>
              <c:pt idx="5">
                <c:v>319.90179999999998</c:v>
              </c:pt>
              <c:pt idx="6">
                <c:v>240.9462</c:v>
              </c:pt>
              <c:pt idx="7">
                <c:v>225.93369999999999</c:v>
              </c:pt>
              <c:pt idx="8">
                <c:v>213.7474</c:v>
              </c:pt>
              <c:pt idx="9">
                <c:v>150.59139999999999</c:v>
              </c:pt>
              <c:pt idx="10">
                <c:v>150.59139999999999</c:v>
              </c:pt>
            </c:numLit>
          </c:val>
          <c:extLst>
            <c:ext xmlns:c16="http://schemas.microsoft.com/office/drawing/2014/chart" uri="{C3380CC4-5D6E-409C-BE32-E72D297353CC}">
              <c16:uniqueId val="{0000000A-EEBC-7346-9C98-97A32BBE3C22}"/>
            </c:ext>
          </c:extLst>
        </c:ser>
        <c:ser>
          <c:idx val="1"/>
          <c:order val="1"/>
          <c:tx>
            <c:strRef>
              <c:f>Tornado!$Z$12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strRef>
              <c:f>Tornado!$T$13:$T$18</c:f>
              <c:strCache>
                <c:ptCount val="6"/>
                <c:pt idx="0">
                  <c:v>Combined Uncertainty</c:v>
                </c:pt>
                <c:pt idx="1">
                  <c:v>SG&amp;A</c:v>
                </c:pt>
                <c:pt idx="2">
                  <c:v>Price change year-on-year</c:v>
                </c:pt>
                <c:pt idx="3">
                  <c:v>Ramp to Peak Market Share</c:v>
                </c:pt>
                <c:pt idx="4">
                  <c:v>Market Growth Rate</c:v>
                </c:pt>
                <c:pt idx="5">
                  <c:v>Cost Per unit</c:v>
                </c:pt>
              </c:strCache>
            </c:strRef>
          </c:cat>
          <c:val>
            <c:numLit>
              <c:formatCode>General</c:formatCode>
              <c:ptCount val="11"/>
              <c:pt idx="0">
                <c:v>301.18</c:v>
              </c:pt>
              <c:pt idx="1">
                <c:v>301.18279999999999</c:v>
              </c:pt>
              <c:pt idx="2">
                <c:v>301.18279999999999</c:v>
              </c:pt>
              <c:pt idx="3">
                <c:v>301.18279999999999</c:v>
              </c:pt>
              <c:pt idx="4">
                <c:v>301.18279999999999</c:v>
              </c:pt>
              <c:pt idx="5">
                <c:v>301.18279999999999</c:v>
              </c:pt>
              <c:pt idx="6">
                <c:v>301.18279999999999</c:v>
              </c:pt>
              <c:pt idx="7">
                <c:v>301.18279999999999</c:v>
              </c:pt>
              <c:pt idx="8">
                <c:v>301.18279999999999</c:v>
              </c:pt>
              <c:pt idx="9">
                <c:v>301.18279999999999</c:v>
              </c:pt>
              <c:pt idx="10">
                <c:v>301.18279999999999</c:v>
              </c:pt>
            </c:numLit>
          </c:val>
          <c:extLst>
            <c:ext xmlns:c16="http://schemas.microsoft.com/office/drawing/2014/chart" uri="{C3380CC4-5D6E-409C-BE32-E72D297353CC}">
              <c16:uniqueId val="{0000000B-EEBC-7346-9C98-97A32BBE3C22}"/>
            </c:ext>
          </c:extLst>
        </c:ser>
        <c:ser>
          <c:idx val="2"/>
          <c:order val="2"/>
          <c:tx>
            <c:strRef>
              <c:f>Tornado!$AA$12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EBC-7346-9C98-97A32BBE3C22}"/>
                </c:ext>
              </c:extLst>
            </c:dLbl>
            <c:dLbl>
              <c:idx val="1"/>
              <c:layout>
                <c:manualLayout>
                  <c:x val="-3.1463025742205302E-3"/>
                  <c:y val="-4.7192992398026497E-3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0.15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EEBC-7346-9C98-97A32BBE3C22}"/>
                </c:ext>
              </c:extLst>
            </c:dLbl>
            <c:dLbl>
              <c:idx val="2"/>
              <c:layout>
                <c:manualLayout>
                  <c:x val="-1.5731512871102701E-3"/>
                  <c:y val="8.6519486582556806E-17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0.03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EEBC-7346-9C98-97A32BBE3C22}"/>
                </c:ext>
              </c:extLst>
            </c:dLbl>
            <c:dLbl>
              <c:idx val="3"/>
              <c:layout>
                <c:manualLayout>
                  <c:x val="0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4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EEBC-7346-9C98-97A32BBE3C22}"/>
                </c:ext>
              </c:extLst>
            </c:dLbl>
            <c:dLbl>
              <c:idx val="4"/>
              <c:layout>
                <c:manualLayout>
                  <c:x val="-1.5731512871102701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0.04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EEBC-7346-9C98-97A32BBE3C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 sz="1400"/>
                      <a:t>2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EEBC-7346-9C98-97A32BBE3C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 sz="1400"/>
                      <a:t>0.6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EEBC-7346-9C98-97A32BBE3C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 sz="1400"/>
                      <a:t>12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EEBC-7346-9C98-97A32BBE3C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EBC-7346-9C98-97A32BBE3C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500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EEBC-7346-9C98-97A32BBE3C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EEBC-7346-9C98-97A32BBE3C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Tornado!$T$13:$T$18</c:f>
              <c:strCache>
                <c:ptCount val="6"/>
                <c:pt idx="0">
                  <c:v>Combined Uncertainty</c:v>
                </c:pt>
                <c:pt idx="1">
                  <c:v>SG&amp;A</c:v>
                </c:pt>
                <c:pt idx="2">
                  <c:v>Price change year-on-year</c:v>
                </c:pt>
                <c:pt idx="3">
                  <c:v>Ramp to Peak Market Share</c:v>
                </c:pt>
                <c:pt idx="4">
                  <c:v>Market Growth Rate</c:v>
                </c:pt>
                <c:pt idx="5">
                  <c:v>Cost Per unit</c:v>
                </c:pt>
              </c:strCache>
            </c:strRef>
          </c:cat>
          <c:val>
            <c:numLit>
              <c:formatCode>General</c:formatCode>
              <c:ptCount val="11"/>
              <c:pt idx="0">
                <c:v>828.11</c:v>
              </c:pt>
              <c:pt idx="1">
                <c:v>282.37049999999999</c:v>
              </c:pt>
              <c:pt idx="2">
                <c:v>320.45940000000002</c:v>
              </c:pt>
              <c:pt idx="3">
                <c:v>281.71109999999999</c:v>
              </c:pt>
              <c:pt idx="4">
                <c:v>327.5684</c:v>
              </c:pt>
              <c:pt idx="5">
                <c:v>263.74470000000002</c:v>
              </c:pt>
              <c:pt idx="6">
                <c:v>361.41930000000002</c:v>
              </c:pt>
              <c:pt idx="7">
                <c:v>414.0564</c:v>
              </c:pt>
              <c:pt idx="8">
                <c:v>423.65989999999999</c:v>
              </c:pt>
              <c:pt idx="9">
                <c:v>602.36559999999997</c:v>
              </c:pt>
              <c:pt idx="10">
                <c:v>602.36559999999997</c:v>
              </c:pt>
            </c:numLit>
          </c:val>
          <c:extLst>
            <c:ext xmlns:c16="http://schemas.microsoft.com/office/drawing/2014/chart" uri="{C3380CC4-5D6E-409C-BE32-E72D297353CC}">
              <c16:uniqueId val="{00000016-EEBC-7346-9C98-97A32BBE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413568"/>
        <c:axId val="50415104"/>
      </c:barChart>
      <c:catAx>
        <c:axId val="50413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28575">
            <a:solidFill>
              <a:srgbClr val="0070C0"/>
            </a:solidFill>
          </a:ln>
        </c:spPr>
        <c:txPr>
          <a:bodyPr/>
          <a:lstStyle/>
          <a:p>
            <a:pPr>
              <a:defRPr sz="1800"/>
            </a:pPr>
            <a:endParaRPr lang="en-US"/>
          </a:p>
        </c:txPr>
        <c:crossAx val="50415104"/>
        <c:crossesAt val="301.18279999999999"/>
        <c:auto val="1"/>
        <c:lblAlgn val="ctr"/>
        <c:lblOffset val="100"/>
        <c:noMultiLvlLbl val="0"/>
      </c:catAx>
      <c:valAx>
        <c:axId val="50415104"/>
        <c:scaling>
          <c:orientation val="minMax"/>
          <c:min val="-100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millions of dollars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1600"/>
            </a:pPr>
            <a:endParaRPr lang="en-US"/>
          </a:p>
        </c:txPr>
        <c:crossAx val="50413568"/>
        <c:crosses val="autoZero"/>
        <c:crossBetween val="between"/>
        <c:majorUnit val="100"/>
        <c:minorUnit val="50"/>
      </c:valAx>
      <c:spPr>
        <a:noFill/>
        <a:ln>
          <a:noFill/>
        </a:ln>
      </c:spPr>
    </c:plotArea>
    <c:legend>
      <c:legendPos val="r"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Cumulative Distribution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Tornado!$AP$12</c:f>
              <c:strCache>
                <c:ptCount val="1"/>
                <c:pt idx="0">
                  <c:v>Cume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Tornado!$AO$13:$AO$93</c:f>
              <c:numCache>
                <c:formatCode>"$"#,##0.00_);\("$"#,##0.00\)</c:formatCode>
                <c:ptCount val="81"/>
                <c:pt idx="0">
                  <c:v>40.04</c:v>
                </c:pt>
                <c:pt idx="1">
                  <c:v>53.44</c:v>
                </c:pt>
                <c:pt idx="2">
                  <c:v>56.48</c:v>
                </c:pt>
                <c:pt idx="3">
                  <c:v>73.53</c:v>
                </c:pt>
                <c:pt idx="4">
                  <c:v>75.3</c:v>
                </c:pt>
                <c:pt idx="5">
                  <c:v>79.58</c:v>
                </c:pt>
                <c:pt idx="6">
                  <c:v>80.08</c:v>
                </c:pt>
                <c:pt idx="7">
                  <c:v>80.08</c:v>
                </c:pt>
                <c:pt idx="8">
                  <c:v>103.51</c:v>
                </c:pt>
                <c:pt idx="9">
                  <c:v>105.92</c:v>
                </c:pt>
                <c:pt idx="10">
                  <c:v>106.87</c:v>
                </c:pt>
                <c:pt idx="11">
                  <c:v>106.87</c:v>
                </c:pt>
                <c:pt idx="12">
                  <c:v>112.97</c:v>
                </c:pt>
                <c:pt idx="13">
                  <c:v>112.97</c:v>
                </c:pt>
                <c:pt idx="14">
                  <c:v>145.41999999999999</c:v>
                </c:pt>
                <c:pt idx="15">
                  <c:v>147.06</c:v>
                </c:pt>
                <c:pt idx="16">
                  <c:v>147.06</c:v>
                </c:pt>
                <c:pt idx="17">
                  <c:v>150.59</c:v>
                </c:pt>
                <c:pt idx="18">
                  <c:v>150.59</c:v>
                </c:pt>
                <c:pt idx="19">
                  <c:v>159.16</c:v>
                </c:pt>
                <c:pt idx="20">
                  <c:v>159.16</c:v>
                </c:pt>
                <c:pt idx="21">
                  <c:v>160.16999999999999</c:v>
                </c:pt>
                <c:pt idx="22">
                  <c:v>160.16999999999999</c:v>
                </c:pt>
                <c:pt idx="23">
                  <c:v>160.16999999999999</c:v>
                </c:pt>
                <c:pt idx="24">
                  <c:v>207.03</c:v>
                </c:pt>
                <c:pt idx="25">
                  <c:v>207.03</c:v>
                </c:pt>
                <c:pt idx="26">
                  <c:v>211.83</c:v>
                </c:pt>
                <c:pt idx="27">
                  <c:v>211.83</c:v>
                </c:pt>
                <c:pt idx="28">
                  <c:v>213.75</c:v>
                </c:pt>
                <c:pt idx="29">
                  <c:v>213.75</c:v>
                </c:pt>
                <c:pt idx="30">
                  <c:v>213.75</c:v>
                </c:pt>
                <c:pt idx="31">
                  <c:v>225.93</c:v>
                </c:pt>
                <c:pt idx="32">
                  <c:v>225.93</c:v>
                </c:pt>
                <c:pt idx="33">
                  <c:v>225.93</c:v>
                </c:pt>
                <c:pt idx="34">
                  <c:v>290.83999999999997</c:v>
                </c:pt>
                <c:pt idx="35">
                  <c:v>290.83999999999997</c:v>
                </c:pt>
                <c:pt idx="36">
                  <c:v>294.12</c:v>
                </c:pt>
                <c:pt idx="37">
                  <c:v>294.12</c:v>
                </c:pt>
                <c:pt idx="38">
                  <c:v>294.12</c:v>
                </c:pt>
                <c:pt idx="39">
                  <c:v>301.18</c:v>
                </c:pt>
                <c:pt idx="40">
                  <c:v>301.18</c:v>
                </c:pt>
                <c:pt idx="41">
                  <c:v>301.18</c:v>
                </c:pt>
                <c:pt idx="42">
                  <c:v>318.32</c:v>
                </c:pt>
                <c:pt idx="43">
                  <c:v>318.32</c:v>
                </c:pt>
                <c:pt idx="44">
                  <c:v>318.32</c:v>
                </c:pt>
                <c:pt idx="45">
                  <c:v>320.33999999999997</c:v>
                </c:pt>
                <c:pt idx="46">
                  <c:v>320.33999999999997</c:v>
                </c:pt>
                <c:pt idx="47">
                  <c:v>414.06</c:v>
                </c:pt>
                <c:pt idx="48">
                  <c:v>414.06</c:v>
                </c:pt>
                <c:pt idx="49">
                  <c:v>414.06</c:v>
                </c:pt>
                <c:pt idx="50">
                  <c:v>423.66</c:v>
                </c:pt>
                <c:pt idx="51">
                  <c:v>423.66</c:v>
                </c:pt>
                <c:pt idx="52">
                  <c:v>423.66</c:v>
                </c:pt>
                <c:pt idx="53">
                  <c:v>427.49</c:v>
                </c:pt>
                <c:pt idx="54">
                  <c:v>427.49</c:v>
                </c:pt>
                <c:pt idx="55">
                  <c:v>451.87</c:v>
                </c:pt>
                <c:pt idx="56">
                  <c:v>451.87</c:v>
                </c:pt>
                <c:pt idx="57">
                  <c:v>581.67999999999995</c:v>
                </c:pt>
                <c:pt idx="58">
                  <c:v>581.67999999999995</c:v>
                </c:pt>
                <c:pt idx="59">
                  <c:v>581.67999999999995</c:v>
                </c:pt>
                <c:pt idx="60">
                  <c:v>588.23</c:v>
                </c:pt>
                <c:pt idx="61">
                  <c:v>588.23</c:v>
                </c:pt>
                <c:pt idx="62">
                  <c:v>602.37</c:v>
                </c:pt>
                <c:pt idx="63">
                  <c:v>602.37</c:v>
                </c:pt>
                <c:pt idx="64">
                  <c:v>636.63</c:v>
                </c:pt>
                <c:pt idx="65">
                  <c:v>636.63</c:v>
                </c:pt>
                <c:pt idx="66">
                  <c:v>640.66999999999996</c:v>
                </c:pt>
                <c:pt idx="67">
                  <c:v>828.11</c:v>
                </c:pt>
                <c:pt idx="68">
                  <c:v>828.11</c:v>
                </c:pt>
                <c:pt idx="69">
                  <c:v>847.32</c:v>
                </c:pt>
                <c:pt idx="70">
                  <c:v>847.32</c:v>
                </c:pt>
                <c:pt idx="71">
                  <c:v>854.99</c:v>
                </c:pt>
                <c:pt idx="72">
                  <c:v>903.73</c:v>
                </c:pt>
                <c:pt idx="73">
                  <c:v>1163.3499999999999</c:v>
                </c:pt>
                <c:pt idx="74">
                  <c:v>1163.3499999999999</c:v>
                </c:pt>
                <c:pt idx="75">
                  <c:v>1176.46</c:v>
                </c:pt>
                <c:pt idx="76">
                  <c:v>1204.73</c:v>
                </c:pt>
                <c:pt idx="77">
                  <c:v>1273.26</c:v>
                </c:pt>
                <c:pt idx="78">
                  <c:v>1656.23</c:v>
                </c:pt>
                <c:pt idx="79">
                  <c:v>1694.64</c:v>
                </c:pt>
                <c:pt idx="80">
                  <c:v>2326.71</c:v>
                </c:pt>
              </c:numCache>
            </c:numRef>
          </c:xVal>
          <c:yVal>
            <c:numRef>
              <c:f>Tornado!$AP$13:$AP$93</c:f>
              <c:numCache>
                <c:formatCode>General</c:formatCode>
                <c:ptCount val="81"/>
                <c:pt idx="0">
                  <c:v>3.90625E-3</c:v>
                </c:pt>
                <c:pt idx="1">
                  <c:v>1.171875E-2</c:v>
                </c:pt>
                <c:pt idx="2">
                  <c:v>1.953125E-2</c:v>
                </c:pt>
                <c:pt idx="3">
                  <c:v>2.34375E-2</c:v>
                </c:pt>
                <c:pt idx="4">
                  <c:v>3.90625E-2</c:v>
                </c:pt>
                <c:pt idx="5">
                  <c:v>4.296875E-2</c:v>
                </c:pt>
                <c:pt idx="6">
                  <c:v>5.078125E-2</c:v>
                </c:pt>
                <c:pt idx="7">
                  <c:v>5.859375E-2</c:v>
                </c:pt>
                <c:pt idx="8">
                  <c:v>6.640625E-2</c:v>
                </c:pt>
                <c:pt idx="9">
                  <c:v>7.421875E-2</c:v>
                </c:pt>
                <c:pt idx="10">
                  <c:v>8.984375E-2</c:v>
                </c:pt>
                <c:pt idx="11">
                  <c:v>0.10546875</c:v>
                </c:pt>
                <c:pt idx="12">
                  <c:v>0.12109375</c:v>
                </c:pt>
                <c:pt idx="13">
                  <c:v>0.13671875</c:v>
                </c:pt>
                <c:pt idx="14">
                  <c:v>0.140625</c:v>
                </c:pt>
                <c:pt idx="15">
                  <c:v>0.1484375</c:v>
                </c:pt>
                <c:pt idx="16">
                  <c:v>0.15625</c:v>
                </c:pt>
                <c:pt idx="17">
                  <c:v>0.1875</c:v>
                </c:pt>
                <c:pt idx="18">
                  <c:v>0.21875</c:v>
                </c:pt>
                <c:pt idx="19">
                  <c:v>0.2265625</c:v>
                </c:pt>
                <c:pt idx="20">
                  <c:v>0.234375</c:v>
                </c:pt>
                <c:pt idx="21">
                  <c:v>0.23828125</c:v>
                </c:pt>
                <c:pt idx="22">
                  <c:v>0.25390625</c:v>
                </c:pt>
                <c:pt idx="23">
                  <c:v>0.2578125</c:v>
                </c:pt>
                <c:pt idx="24">
                  <c:v>0.2734375</c:v>
                </c:pt>
                <c:pt idx="25">
                  <c:v>0.2890625</c:v>
                </c:pt>
                <c:pt idx="26">
                  <c:v>0.3046875</c:v>
                </c:pt>
                <c:pt idx="27">
                  <c:v>0.3203125</c:v>
                </c:pt>
                <c:pt idx="28">
                  <c:v>0.328125</c:v>
                </c:pt>
                <c:pt idx="29">
                  <c:v>0.359375</c:v>
                </c:pt>
                <c:pt idx="30">
                  <c:v>0.3671875</c:v>
                </c:pt>
                <c:pt idx="31">
                  <c:v>0.375</c:v>
                </c:pt>
                <c:pt idx="32">
                  <c:v>0.40625</c:v>
                </c:pt>
                <c:pt idx="33">
                  <c:v>0.4140625</c:v>
                </c:pt>
                <c:pt idx="34">
                  <c:v>0.421875</c:v>
                </c:pt>
                <c:pt idx="35">
                  <c:v>0.4296875</c:v>
                </c:pt>
                <c:pt idx="36">
                  <c:v>0.43359375</c:v>
                </c:pt>
                <c:pt idx="37">
                  <c:v>0.44921875</c:v>
                </c:pt>
                <c:pt idx="38">
                  <c:v>0.453125</c:v>
                </c:pt>
                <c:pt idx="39">
                  <c:v>0.46875</c:v>
                </c:pt>
                <c:pt idx="40">
                  <c:v>0.53125</c:v>
                </c:pt>
                <c:pt idx="41">
                  <c:v>0.546875</c:v>
                </c:pt>
                <c:pt idx="42">
                  <c:v>0.55078125</c:v>
                </c:pt>
                <c:pt idx="43">
                  <c:v>0.56640625</c:v>
                </c:pt>
                <c:pt idx="44">
                  <c:v>0.5703125</c:v>
                </c:pt>
                <c:pt idx="45">
                  <c:v>0.578125</c:v>
                </c:pt>
                <c:pt idx="46">
                  <c:v>0.5859375</c:v>
                </c:pt>
                <c:pt idx="47">
                  <c:v>0.59375</c:v>
                </c:pt>
                <c:pt idx="48">
                  <c:v>0.625</c:v>
                </c:pt>
                <c:pt idx="49">
                  <c:v>0.6328125</c:v>
                </c:pt>
                <c:pt idx="50">
                  <c:v>0.640625</c:v>
                </c:pt>
                <c:pt idx="51">
                  <c:v>0.671875</c:v>
                </c:pt>
                <c:pt idx="52">
                  <c:v>0.6796875</c:v>
                </c:pt>
                <c:pt idx="53">
                  <c:v>0.6953125</c:v>
                </c:pt>
                <c:pt idx="54">
                  <c:v>0.7109375</c:v>
                </c:pt>
                <c:pt idx="55">
                  <c:v>0.7265625</c:v>
                </c:pt>
                <c:pt idx="56">
                  <c:v>0.7421875</c:v>
                </c:pt>
                <c:pt idx="57">
                  <c:v>0.74609375</c:v>
                </c:pt>
                <c:pt idx="58">
                  <c:v>0.76171875</c:v>
                </c:pt>
                <c:pt idx="59">
                  <c:v>0.765625</c:v>
                </c:pt>
                <c:pt idx="60">
                  <c:v>0.7734375</c:v>
                </c:pt>
                <c:pt idx="61">
                  <c:v>0.78125</c:v>
                </c:pt>
                <c:pt idx="62">
                  <c:v>0.8125</c:v>
                </c:pt>
                <c:pt idx="63">
                  <c:v>0.84375</c:v>
                </c:pt>
                <c:pt idx="64">
                  <c:v>0.8515625</c:v>
                </c:pt>
                <c:pt idx="65">
                  <c:v>0.859375</c:v>
                </c:pt>
                <c:pt idx="66">
                  <c:v>0.86328125</c:v>
                </c:pt>
                <c:pt idx="67">
                  <c:v>0.87890625</c:v>
                </c:pt>
                <c:pt idx="68">
                  <c:v>0.89453125</c:v>
                </c:pt>
                <c:pt idx="69">
                  <c:v>0.91015625</c:v>
                </c:pt>
                <c:pt idx="70">
                  <c:v>0.92578125</c:v>
                </c:pt>
                <c:pt idx="71">
                  <c:v>0.93359375</c:v>
                </c:pt>
                <c:pt idx="72">
                  <c:v>0.94140625</c:v>
                </c:pt>
                <c:pt idx="73">
                  <c:v>0.94921875</c:v>
                </c:pt>
                <c:pt idx="74">
                  <c:v>0.95703125</c:v>
                </c:pt>
                <c:pt idx="75">
                  <c:v>0.9609375</c:v>
                </c:pt>
                <c:pt idx="76">
                  <c:v>0.9765625</c:v>
                </c:pt>
                <c:pt idx="77">
                  <c:v>0.98046875</c:v>
                </c:pt>
                <c:pt idx="78">
                  <c:v>0.98828125</c:v>
                </c:pt>
                <c:pt idx="79">
                  <c:v>0.99609375</c:v>
                </c:pt>
                <c:pt idx="8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4D-6C4B-8D53-F92780620E9C}"/>
            </c:ext>
          </c:extLst>
        </c:ser>
        <c:ser>
          <c:idx val="1"/>
          <c:order val="1"/>
          <c:tx>
            <c:v>Mean</c:v>
          </c:tx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2770448548812701E-2"/>
                  <c:y val="-3.078402612036739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4D-6C4B-8D53-F92780620E9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4D-6C4B-8D53-F92780620E9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Tornado!$L$64:$L$65</c:f>
              <c:numCache>
                <c:formatCode>"$"#,##0</c:formatCode>
                <c:ptCount val="2"/>
                <c:pt idx="0">
                  <c:v>404.51003906250008</c:v>
                </c:pt>
                <c:pt idx="1">
                  <c:v>404.51003906250008</c:v>
                </c:pt>
              </c:numCache>
            </c:numRef>
          </c:xVal>
          <c:yVal>
            <c:numRef>
              <c:f>Tornado!$M$64:$M$66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4D-6C4B-8D53-F92780620E9C}"/>
            </c:ext>
          </c:extLst>
        </c:ser>
        <c:ser>
          <c:idx val="2"/>
          <c:order val="2"/>
          <c:tx>
            <c:strRef>
              <c:f>Tornado!$K$67</c:f>
              <c:strCache>
                <c:ptCount val="1"/>
                <c:pt idx="0">
                  <c:v>10%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69920844327177E-2"/>
                  <c:y val="-0.61568052240734705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4D-6C4B-8D53-F92780620E9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4D-6C4B-8D53-F92780620E9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Tornado!$L$67:$L$68</c:f>
              <c:numCache>
                <c:formatCode>"$"#,##0</c:formatCode>
                <c:ptCount val="2"/>
                <c:pt idx="0">
                  <c:v>106.87</c:v>
                </c:pt>
                <c:pt idx="1">
                  <c:v>106.87</c:v>
                </c:pt>
              </c:numCache>
            </c:numRef>
          </c:xVal>
          <c:yVal>
            <c:numRef>
              <c:f>Tornado!$M$67:$M$68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4D-6C4B-8D53-F92780620E9C}"/>
            </c:ext>
          </c:extLst>
        </c:ser>
        <c:ser>
          <c:idx val="3"/>
          <c:order val="3"/>
          <c:tx>
            <c:strRef>
              <c:f>Tornado!$K$70</c:f>
              <c:strCache>
                <c:ptCount val="1"/>
                <c:pt idx="0">
                  <c:v>50%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4D-6C4B-8D53-F92780620E9C}"/>
                </c:ext>
              </c:extLst>
            </c:dLbl>
            <c:dLbl>
              <c:idx val="1"/>
              <c:layout>
                <c:manualLayout>
                  <c:x val="-1.05540897097625E-2"/>
                  <c:y val="7.6960065300918402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4D-6C4B-8D53-F92780620E9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Tornado!$L$70:$L$71</c:f>
              <c:numCache>
                <c:formatCode>"$"#,##0</c:formatCode>
                <c:ptCount val="2"/>
                <c:pt idx="0">
                  <c:v>301.18</c:v>
                </c:pt>
                <c:pt idx="1">
                  <c:v>301.18</c:v>
                </c:pt>
              </c:numCache>
            </c:numRef>
          </c:xVal>
          <c:yVal>
            <c:numRef>
              <c:f>Tornado!$M$70:$M$71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64D-6C4B-8D53-F92780620E9C}"/>
            </c:ext>
          </c:extLst>
        </c:ser>
        <c:ser>
          <c:idx val="4"/>
          <c:order val="4"/>
          <c:tx>
            <c:strRef>
              <c:f>Tornado!$K$73</c:f>
              <c:strCache>
                <c:ptCount val="1"/>
                <c:pt idx="0">
                  <c:v>90%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4.2216358839050096E-3"/>
                  <c:y val="-4.6176039180551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4D-6C4B-8D53-F92780620E9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4D-6C4B-8D53-F92780620E9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Tornado!$L$73:$L$74</c:f>
              <c:numCache>
                <c:formatCode>"$"#,##0</c:formatCode>
                <c:ptCount val="2"/>
                <c:pt idx="0">
                  <c:v>828.11</c:v>
                </c:pt>
                <c:pt idx="1">
                  <c:v>828.11</c:v>
                </c:pt>
              </c:numCache>
            </c:numRef>
          </c:xVal>
          <c:yVal>
            <c:numRef>
              <c:f>Tornado!$M$73:$M$74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64D-6C4B-8D53-F92780620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39904"/>
        <c:axId val="50558464"/>
      </c:scatterChart>
      <c:valAx>
        <c:axId val="5053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millions of dollars</a:t>
                </a:r>
              </a:p>
            </c:rich>
          </c:tx>
          <c:overlay val="0"/>
        </c:title>
        <c:numFmt formatCode="&quot;$&quot;#,##0_);\(&quot;$&quot;#,##0\)" sourceLinked="0"/>
        <c:majorTickMark val="out"/>
        <c:minorTickMark val="none"/>
        <c:tickLblPos val="nextTo"/>
        <c:crossAx val="50558464"/>
        <c:crosses val="autoZero"/>
        <c:crossBetween val="midCat"/>
      </c:valAx>
      <c:valAx>
        <c:axId val="50558464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crossAx val="50539904"/>
        <c:crosses val="autoZero"/>
        <c:crossBetween val="midCat"/>
      </c:valAx>
      <c:spPr>
        <a:noFill/>
        <a:ln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50800</xdr:colOff>
      <xdr:row>7</xdr:row>
      <xdr:rowOff>12700</xdr:rowOff>
    </xdr:from>
    <xdr:to>
      <xdr:col>4</xdr:col>
      <xdr:colOff>139700</xdr:colOff>
      <xdr:row>8</xdr:row>
      <xdr:rowOff>63500</xdr:rowOff>
    </xdr:to>
    <xdr:sp macro="" textlink="">
      <xdr:nvSpPr>
        <xdr:cNvPr id="1025" name="TornadoBtn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7</xdr:col>
      <xdr:colOff>57148</xdr:colOff>
      <xdr:row>7</xdr:row>
      <xdr:rowOff>261936</xdr:rowOff>
    </xdr:from>
    <xdr:to>
      <xdr:col>18</xdr:col>
      <xdr:colOff>742950</xdr:colOff>
      <xdr:row>35</xdr:row>
      <xdr:rowOff>161924</xdr:rowOff>
    </xdr:to>
    <xdr:graphicFrame macro="">
      <xdr:nvGraphicFramePr>
        <xdr:cNvPr id="2" name="Tornado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657225</xdr:colOff>
      <xdr:row>37</xdr:row>
      <xdr:rowOff>4761</xdr:rowOff>
    </xdr:from>
    <xdr:to>
      <xdr:col>17</xdr:col>
      <xdr:colOff>514350</xdr:colOff>
      <xdr:row>54</xdr:row>
      <xdr:rowOff>66674</xdr:rowOff>
    </xdr:to>
    <xdr:graphicFrame macro="">
      <xdr:nvGraphicFramePr>
        <xdr:cNvPr id="4" name="CDF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7</xdr:row>
          <xdr:rowOff>25400</xdr:rowOff>
        </xdr:from>
        <xdr:to>
          <xdr:col>3</xdr:col>
          <xdr:colOff>774700</xdr:colOff>
          <xdr:row>8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Make Tornado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4</xdr:row>
          <xdr:rowOff>114300</xdr:rowOff>
        </xdr:from>
        <xdr:to>
          <xdr:col>5</xdr:col>
          <xdr:colOff>1447800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63500</xdr:rowOff>
        </xdr:from>
        <xdr:to>
          <xdr:col>5</xdr:col>
          <xdr:colOff>1447800</xdr:colOff>
          <xdr:row>8</xdr:row>
          <xdr:rowOff>114300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Inputs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23"/>
  <sheetViews>
    <sheetView tabSelected="1" workbookViewId="0">
      <selection activeCell="E5" sqref="E5"/>
    </sheetView>
  </sheetViews>
  <sheetFormatPr baseColWidth="10" defaultColWidth="8.83203125" defaultRowHeight="15" x14ac:dyDescent="0.2"/>
  <cols>
    <col min="1" max="16384" width="8.83203125" style="1"/>
  </cols>
  <sheetData>
    <row r="2" spans="2:2" ht="31" x14ac:dyDescent="0.35">
      <c r="B2" s="23" t="s">
        <v>82</v>
      </c>
    </row>
    <row r="3" spans="2:2" ht="24" x14ac:dyDescent="0.3">
      <c r="B3" s="95" t="s">
        <v>83</v>
      </c>
    </row>
    <row r="4" spans="2:2" x14ac:dyDescent="0.2">
      <c r="B4" s="1" t="s">
        <v>94</v>
      </c>
    </row>
    <row r="6" spans="2:2" x14ac:dyDescent="0.2">
      <c r="B6" s="1" t="s">
        <v>18</v>
      </c>
    </row>
    <row r="8" spans="2:2" ht="18" x14ac:dyDescent="0.2">
      <c r="B8" s="93" t="s">
        <v>84</v>
      </c>
    </row>
    <row r="9" spans="2:2" ht="18" x14ac:dyDescent="0.2">
      <c r="B9" s="94" t="s">
        <v>85</v>
      </c>
    </row>
    <row r="10" spans="2:2" ht="18" x14ac:dyDescent="0.2">
      <c r="B10" s="94" t="s">
        <v>86</v>
      </c>
    </row>
    <row r="11" spans="2:2" ht="18" x14ac:dyDescent="0.2">
      <c r="B11" s="94" t="s">
        <v>87</v>
      </c>
    </row>
    <row r="12" spans="2:2" ht="18" x14ac:dyDescent="0.2">
      <c r="B12" s="94" t="s">
        <v>88</v>
      </c>
    </row>
    <row r="13" spans="2:2" ht="18" x14ac:dyDescent="0.2">
      <c r="B13" s="94"/>
    </row>
    <row r="14" spans="2:2" ht="18" x14ac:dyDescent="0.2">
      <c r="B14" s="94" t="s">
        <v>89</v>
      </c>
    </row>
    <row r="16" spans="2:2" ht="18" x14ac:dyDescent="0.2">
      <c r="B16" s="94" t="s">
        <v>90</v>
      </c>
    </row>
    <row r="17" spans="2:2" ht="18" x14ac:dyDescent="0.2">
      <c r="B17" s="94" t="s">
        <v>91</v>
      </c>
    </row>
    <row r="18" spans="2:2" ht="18" x14ac:dyDescent="0.2">
      <c r="B18" s="94" t="s">
        <v>92</v>
      </c>
    </row>
    <row r="19" spans="2:2" ht="18" x14ac:dyDescent="0.2">
      <c r="B19" s="94" t="s">
        <v>93</v>
      </c>
    </row>
    <row r="20" spans="2:2" ht="24" x14ac:dyDescent="0.3">
      <c r="B20" s="24"/>
    </row>
    <row r="23" spans="2:2" ht="24" x14ac:dyDescent="0.3">
      <c r="B23" s="24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Q93"/>
  <sheetViews>
    <sheetView topLeftCell="A2" zoomScale="125" zoomScaleNormal="90" zoomScalePageLayoutView="90" workbookViewId="0">
      <selection activeCell="F24" sqref="F24"/>
    </sheetView>
  </sheetViews>
  <sheetFormatPr baseColWidth="10" defaultColWidth="8.83203125" defaultRowHeight="15" outlineLevelCol="1" x14ac:dyDescent="0.2"/>
  <cols>
    <col min="1" max="1" width="8.83203125" style="1"/>
    <col min="2" max="2" width="15" style="1" customWidth="1"/>
    <col min="3" max="3" width="21.5" style="4" bestFit="1" customWidth="1"/>
    <col min="4" max="4" width="17" style="4" bestFit="1" customWidth="1"/>
    <col min="5" max="5" width="8.83203125" style="4"/>
    <col min="6" max="6" width="20.1640625" style="4" customWidth="1"/>
    <col min="7" max="7" width="8.83203125" style="4"/>
    <col min="8" max="8" width="8.83203125" style="1"/>
    <col min="9" max="9" width="11" style="1" customWidth="1"/>
    <col min="10" max="10" width="17" style="1" bestFit="1" customWidth="1"/>
    <col min="11" max="13" width="8.83203125" style="1"/>
    <col min="14" max="15" width="9" style="1" bestFit="1" customWidth="1"/>
    <col min="16" max="16" width="9.1640625" style="1" bestFit="1" customWidth="1"/>
    <col min="17" max="18" width="8.83203125" style="1"/>
    <col min="19" max="19" width="22.5" style="1" customWidth="1"/>
    <col min="20" max="20" width="21.5" style="21" customWidth="1" outlineLevel="1"/>
    <col min="21" max="21" width="17" style="1" customWidth="1" outlineLevel="1"/>
    <col min="22" max="29" width="9.1640625" style="1" customWidth="1" outlineLevel="1"/>
    <col min="30" max="32" width="8.83203125" style="1"/>
    <col min="33" max="33" width="12.83203125" style="4" bestFit="1" customWidth="1"/>
    <col min="34" max="34" width="19.5" style="4" bestFit="1" customWidth="1"/>
    <col min="35" max="35" width="5" style="4" bestFit="1" customWidth="1"/>
    <col min="36" max="36" width="11.5" style="4" bestFit="1" customWidth="1"/>
    <col min="37" max="16384" width="8.83203125" style="1"/>
  </cols>
  <sheetData>
    <row r="1" spans="1:43" x14ac:dyDescent="0.2">
      <c r="B1" s="2" t="s">
        <v>7</v>
      </c>
      <c r="C1" s="1"/>
      <c r="D1" s="1"/>
      <c r="G1" s="1"/>
      <c r="AG1" s="1"/>
      <c r="AH1" s="1"/>
      <c r="AI1" s="1"/>
      <c r="AJ1" s="1"/>
    </row>
    <row r="2" spans="1:43" ht="16" thickBot="1" x14ac:dyDescent="0.25">
      <c r="C2" s="1"/>
      <c r="D2" s="1"/>
      <c r="G2" s="1"/>
      <c r="AG2" s="1"/>
      <c r="AH2" s="1"/>
      <c r="AI2" s="1"/>
      <c r="AJ2" s="1"/>
    </row>
    <row r="3" spans="1:43" ht="19" x14ac:dyDescent="0.25">
      <c r="C3" s="59" t="s">
        <v>4</v>
      </c>
      <c r="D3" s="60"/>
      <c r="E3" s="1"/>
      <c r="F3" s="67" t="s">
        <v>71</v>
      </c>
      <c r="G3" s="1"/>
      <c r="M3" s="3" t="s">
        <v>16</v>
      </c>
      <c r="AG3" s="1"/>
      <c r="AH3" s="1"/>
      <c r="AI3" s="1"/>
      <c r="AJ3" s="1"/>
    </row>
    <row r="4" spans="1:43" ht="16" thickBot="1" x14ac:dyDescent="0.25">
      <c r="C4" s="61">
        <f>npvOfEBITDA</f>
        <v>301.18279113208018</v>
      </c>
      <c r="D4" s="50" t="s">
        <v>11</v>
      </c>
      <c r="E4" s="1"/>
      <c r="F4" s="91" t="s">
        <v>68</v>
      </c>
      <c r="G4" s="1"/>
      <c r="M4" s="1" t="s">
        <v>19</v>
      </c>
      <c r="AG4" s="1"/>
      <c r="AH4" s="1"/>
      <c r="AI4" s="1"/>
      <c r="AJ4" s="1"/>
    </row>
    <row r="5" spans="1:43" x14ac:dyDescent="0.2">
      <c r="D5" s="1"/>
      <c r="E5" s="1"/>
      <c r="F5" s="62"/>
      <c r="G5" s="1"/>
      <c r="M5" s="1" t="s">
        <v>17</v>
      </c>
      <c r="AG5" s="1"/>
      <c r="AH5" s="1"/>
      <c r="AI5" s="1"/>
      <c r="AJ5" s="1"/>
    </row>
    <row r="6" spans="1:43" x14ac:dyDescent="0.2">
      <c r="C6" s="1" t="s">
        <v>12</v>
      </c>
      <c r="D6" s="1"/>
      <c r="E6" s="1"/>
      <c r="F6" s="62"/>
      <c r="G6" s="1"/>
      <c r="I6" s="2" t="s">
        <v>81</v>
      </c>
      <c r="AG6" s="1"/>
      <c r="AH6" s="1"/>
      <c r="AI6" s="1"/>
      <c r="AJ6" s="1"/>
    </row>
    <row r="7" spans="1:43" ht="21" x14ac:dyDescent="0.25">
      <c r="C7" s="1" t="s">
        <v>13</v>
      </c>
      <c r="D7" s="1"/>
      <c r="E7" s="1"/>
      <c r="F7" s="62"/>
      <c r="G7" s="1"/>
      <c r="I7" s="92" t="s">
        <v>68</v>
      </c>
      <c r="AG7" s="1"/>
      <c r="AH7" s="1"/>
      <c r="AI7" s="1"/>
      <c r="AJ7" s="1"/>
    </row>
    <row r="8" spans="1:43" ht="26" x14ac:dyDescent="0.3">
      <c r="C8" s="1"/>
      <c r="D8" s="1"/>
      <c r="E8" s="1"/>
      <c r="F8" s="62"/>
      <c r="G8" s="1"/>
      <c r="W8" s="25" t="s">
        <v>20</v>
      </c>
      <c r="AG8" s="1"/>
      <c r="AH8" s="1"/>
      <c r="AI8" s="1"/>
      <c r="AJ8" s="1"/>
    </row>
    <row r="9" spans="1:43" ht="16" thickBot="1" x14ac:dyDescent="0.25">
      <c r="C9" s="3"/>
      <c r="D9" s="3"/>
      <c r="E9" s="1"/>
      <c r="F9" s="63"/>
      <c r="G9" s="1"/>
      <c r="AG9" s="1"/>
      <c r="AH9" s="1"/>
      <c r="AI9" s="1"/>
      <c r="AJ9" s="1"/>
    </row>
    <row r="10" spans="1:43" x14ac:dyDescent="0.2">
      <c r="B10" s="28" t="s">
        <v>27</v>
      </c>
      <c r="C10" s="58">
        <f>SUMPRODUCT(AN13:AN93,AO13:AO93)</f>
        <v>404.51003906250008</v>
      </c>
      <c r="D10" s="26" t="str">
        <f>unitsOfOutput</f>
        <v>millions of dollars</v>
      </c>
      <c r="E10" s="1"/>
      <c r="F10" s="1"/>
      <c r="G10" s="1"/>
      <c r="AG10" s="4">
        <f>MATCH(factor1,$C$13:$C$22,FALSE)</f>
        <v>3</v>
      </c>
      <c r="AH10" s="4">
        <f>MATCH(factor2,$C$13:$C$22,FALSE)</f>
        <v>1</v>
      </c>
      <c r="AI10" s="4">
        <f>MATCH(factor3,$C$13:$C$22,FALSE)</f>
        <v>6</v>
      </c>
      <c r="AJ10" s="4">
        <f>MATCH(factor4,$C$13:$C$22,FALSE)</f>
        <v>7</v>
      </c>
    </row>
    <row r="11" spans="1:43" x14ac:dyDescent="0.2">
      <c r="C11" s="3"/>
      <c r="D11" s="3"/>
      <c r="E11" s="1"/>
      <c r="F11" s="1"/>
      <c r="G11" s="1"/>
      <c r="V11" s="8"/>
      <c r="W11" s="9" t="s">
        <v>14</v>
      </c>
      <c r="X11" s="10"/>
      <c r="Y11" s="20"/>
      <c r="Z11" s="19" t="s">
        <v>15</v>
      </c>
      <c r="AA11" s="10"/>
      <c r="AG11" s="4" t="s">
        <v>46</v>
      </c>
      <c r="AH11" s="4" t="s">
        <v>42</v>
      </c>
      <c r="AI11" s="4" t="s">
        <v>50</v>
      </c>
      <c r="AJ11" s="4" t="s">
        <v>51</v>
      </c>
    </row>
    <row r="12" spans="1:43" x14ac:dyDescent="0.2">
      <c r="A12" s="5" t="s">
        <v>5</v>
      </c>
      <c r="B12" s="3" t="s">
        <v>6</v>
      </c>
      <c r="C12" s="7" t="s">
        <v>3</v>
      </c>
      <c r="D12" s="7" t="s">
        <v>10</v>
      </c>
      <c r="E12" s="7" t="s">
        <v>0</v>
      </c>
      <c r="F12" s="7" t="s">
        <v>1</v>
      </c>
      <c r="G12" s="7" t="s">
        <v>2</v>
      </c>
      <c r="T12" s="11" t="s">
        <v>3</v>
      </c>
      <c r="U12" s="5" t="s">
        <v>10</v>
      </c>
      <c r="V12" s="11" t="s">
        <v>0</v>
      </c>
      <c r="W12" s="7" t="s">
        <v>1</v>
      </c>
      <c r="X12" s="12" t="s">
        <v>2</v>
      </c>
      <c r="Y12" s="7" t="s">
        <v>0</v>
      </c>
      <c r="Z12" s="7" t="s">
        <v>29</v>
      </c>
      <c r="AA12" s="12" t="s">
        <v>2</v>
      </c>
      <c r="AB12" s="5" t="s">
        <v>8</v>
      </c>
      <c r="AC12" s="5" t="s">
        <v>9</v>
      </c>
      <c r="AG12" s="26" t="s">
        <v>23</v>
      </c>
      <c r="AH12" s="26" t="s">
        <v>24</v>
      </c>
      <c r="AI12" s="26" t="s">
        <v>25</v>
      </c>
      <c r="AJ12" s="26" t="s">
        <v>26</v>
      </c>
      <c r="AK12" s="26" t="s">
        <v>21</v>
      </c>
      <c r="AL12" s="26" t="s">
        <v>22</v>
      </c>
      <c r="AN12" s="26" t="s">
        <v>21</v>
      </c>
      <c r="AO12" s="26" t="s">
        <v>22</v>
      </c>
      <c r="AP12" s="26" t="s">
        <v>28</v>
      </c>
      <c r="AQ12" s="1" t="s">
        <v>22</v>
      </c>
    </row>
    <row r="13" spans="1:43" x14ac:dyDescent="0.2">
      <c r="A13" s="4">
        <v>2</v>
      </c>
      <c r="B13" s="4">
        <f>IF(C13="","",INDEX(E13:G13,A13))</f>
        <v>250</v>
      </c>
      <c r="C13" s="6" t="s">
        <v>42</v>
      </c>
      <c r="D13" s="6" t="s">
        <v>43</v>
      </c>
      <c r="E13" s="6">
        <v>125</v>
      </c>
      <c r="F13" s="6">
        <v>250</v>
      </c>
      <c r="G13" s="6">
        <v>500</v>
      </c>
      <c r="T13" s="13" t="s">
        <v>30</v>
      </c>
      <c r="U13" s="4"/>
      <c r="V13" s="13"/>
      <c r="W13" s="14"/>
      <c r="X13" s="15"/>
      <c r="Y13" s="14">
        <v>106.87</v>
      </c>
      <c r="Z13" s="14">
        <v>301.18</v>
      </c>
      <c r="AA13" s="15">
        <v>828.11</v>
      </c>
      <c r="AB13" s="4"/>
      <c r="AC13" s="4">
        <v>0</v>
      </c>
      <c r="AG13" s="4" t="s">
        <v>0</v>
      </c>
      <c r="AH13" s="4" t="s">
        <v>0</v>
      </c>
      <c r="AI13" s="4" t="s">
        <v>0</v>
      </c>
      <c r="AJ13" s="4" t="s">
        <v>0</v>
      </c>
      <c r="AK13" s="1">
        <f t="shared" ref="AK13:AK44" si="0">p(AG13)*p(AH13)*p(AI13)*p(AJ13)</f>
        <v>3.90625E-3</v>
      </c>
      <c r="AL13" s="27">
        <v>40.04</v>
      </c>
      <c r="AN13" s="1">
        <v>3.90625E-3</v>
      </c>
      <c r="AO13" s="27">
        <v>40.04</v>
      </c>
      <c r="AP13" s="1">
        <f>AN13</f>
        <v>3.90625E-3</v>
      </c>
      <c r="AQ13" s="27">
        <f>AO13</f>
        <v>40.04</v>
      </c>
    </row>
    <row r="14" spans="1:43" x14ac:dyDescent="0.2">
      <c r="A14" s="4">
        <v>2</v>
      </c>
      <c r="B14" s="4">
        <f t="shared" ref="B14:B38" si="1">IF(C14="","",INDEX(E14:G14,A14))</f>
        <v>0.03</v>
      </c>
      <c r="C14" s="6" t="s">
        <v>44</v>
      </c>
      <c r="D14" s="6" t="s">
        <v>45</v>
      </c>
      <c r="E14" s="39">
        <v>0.02</v>
      </c>
      <c r="F14" s="39">
        <v>0.03</v>
      </c>
      <c r="G14" s="39">
        <v>0.04</v>
      </c>
      <c r="T14" s="13" t="s">
        <v>55</v>
      </c>
      <c r="U14" s="4" t="s">
        <v>45</v>
      </c>
      <c r="V14" s="13">
        <v>0.08</v>
      </c>
      <c r="W14" s="14">
        <v>0.1</v>
      </c>
      <c r="X14" s="15">
        <v>0.15</v>
      </c>
      <c r="Y14" s="14">
        <v>308.70769999999999</v>
      </c>
      <c r="Z14" s="14">
        <v>301.18279999999999</v>
      </c>
      <c r="AA14" s="15">
        <v>282.37049999999999</v>
      </c>
      <c r="AB14" s="4">
        <v>26.337199999999996</v>
      </c>
      <c r="AC14" s="4">
        <v>693.64810383999975</v>
      </c>
      <c r="AG14" s="4" t="s">
        <v>0</v>
      </c>
      <c r="AH14" s="4" t="s">
        <v>0</v>
      </c>
      <c r="AI14" s="4" t="s">
        <v>0</v>
      </c>
      <c r="AJ14" s="4" t="s">
        <v>1</v>
      </c>
      <c r="AK14" s="1">
        <f t="shared" si="0"/>
        <v>7.8125E-3</v>
      </c>
      <c r="AL14" s="27">
        <v>53.44</v>
      </c>
      <c r="AN14" s="1">
        <v>7.8125E-3</v>
      </c>
      <c r="AO14" s="27">
        <v>53.44</v>
      </c>
      <c r="AP14" s="1">
        <f>AN14+AP13</f>
        <v>1.171875E-2</v>
      </c>
      <c r="AQ14" s="27">
        <f t="shared" ref="AQ14:AQ77" si="2">AO14</f>
        <v>53.44</v>
      </c>
    </row>
    <row r="15" spans="1:43" x14ac:dyDescent="0.2">
      <c r="A15" s="4">
        <v>2</v>
      </c>
      <c r="B15" s="4">
        <f t="shared" si="1"/>
        <v>0.1</v>
      </c>
      <c r="C15" s="6" t="s">
        <v>46</v>
      </c>
      <c r="D15" s="6" t="s">
        <v>45</v>
      </c>
      <c r="E15" s="39">
        <v>0.05</v>
      </c>
      <c r="F15" s="39">
        <v>0.1</v>
      </c>
      <c r="G15" s="39">
        <v>0.2</v>
      </c>
      <c r="T15" s="13" t="s">
        <v>53</v>
      </c>
      <c r="U15" s="4" t="s">
        <v>45</v>
      </c>
      <c r="V15" s="13">
        <v>0.01</v>
      </c>
      <c r="W15" s="14">
        <v>0.02</v>
      </c>
      <c r="X15" s="15">
        <v>0.03</v>
      </c>
      <c r="Y15" s="14">
        <v>282.98660000000001</v>
      </c>
      <c r="Z15" s="14">
        <v>301.18279999999999</v>
      </c>
      <c r="AA15" s="15">
        <v>320.45940000000002</v>
      </c>
      <c r="AB15" s="4">
        <v>37.472800000000007</v>
      </c>
      <c r="AC15" s="4">
        <v>1404.2107398400005</v>
      </c>
      <c r="AG15" s="4" t="s">
        <v>0</v>
      </c>
      <c r="AH15" s="4" t="s">
        <v>0</v>
      </c>
      <c r="AI15" s="4" t="s">
        <v>0</v>
      </c>
      <c r="AJ15" s="4" t="s">
        <v>2</v>
      </c>
      <c r="AK15" s="1">
        <f t="shared" si="0"/>
        <v>3.90625E-3</v>
      </c>
      <c r="AL15" s="27">
        <v>73.53</v>
      </c>
      <c r="AN15" s="1">
        <v>7.8125E-3</v>
      </c>
      <c r="AO15" s="27">
        <v>56.48</v>
      </c>
      <c r="AP15" s="1">
        <f t="shared" ref="AP15:AP78" si="3">AN15+AP14</f>
        <v>1.953125E-2</v>
      </c>
      <c r="AQ15" s="27">
        <f t="shared" si="2"/>
        <v>56.48</v>
      </c>
    </row>
    <row r="16" spans="1:43" x14ac:dyDescent="0.2">
      <c r="A16" s="4">
        <v>2</v>
      </c>
      <c r="B16" s="4">
        <f t="shared" si="1"/>
        <v>0.5</v>
      </c>
      <c r="C16" s="6" t="s">
        <v>47</v>
      </c>
      <c r="D16" s="6" t="s">
        <v>45</v>
      </c>
      <c r="E16" s="39">
        <v>0.4</v>
      </c>
      <c r="F16" s="39">
        <v>0.5</v>
      </c>
      <c r="G16" s="39">
        <v>0.6</v>
      </c>
      <c r="T16" s="13" t="s">
        <v>48</v>
      </c>
      <c r="U16" s="4" t="s">
        <v>49</v>
      </c>
      <c r="V16" s="13">
        <v>2</v>
      </c>
      <c r="W16" s="14">
        <v>3</v>
      </c>
      <c r="X16" s="15">
        <v>4</v>
      </c>
      <c r="Y16" s="14">
        <v>321.21839999999997</v>
      </c>
      <c r="Z16" s="14">
        <v>301.18279999999999</v>
      </c>
      <c r="AA16" s="15">
        <v>281.71109999999999</v>
      </c>
      <c r="AB16" s="4">
        <v>39.507299999999987</v>
      </c>
      <c r="AC16" s="4">
        <v>1560.826753289999</v>
      </c>
      <c r="AG16" s="4" t="s">
        <v>0</v>
      </c>
      <c r="AH16" s="4" t="s">
        <v>0</v>
      </c>
      <c r="AI16" s="4" t="s">
        <v>1</v>
      </c>
      <c r="AJ16" s="4" t="s">
        <v>0</v>
      </c>
      <c r="AK16" s="1">
        <f t="shared" si="0"/>
        <v>7.8125E-3</v>
      </c>
      <c r="AL16" s="27">
        <v>56.48</v>
      </c>
      <c r="AN16" s="1">
        <v>3.90625E-3</v>
      </c>
      <c r="AO16" s="27">
        <v>73.53</v>
      </c>
      <c r="AP16" s="1">
        <f t="shared" si="3"/>
        <v>2.34375E-2</v>
      </c>
      <c r="AQ16" s="27">
        <f t="shared" si="2"/>
        <v>73.53</v>
      </c>
    </row>
    <row r="17" spans="1:43" x14ac:dyDescent="0.2">
      <c r="A17" s="4">
        <v>2</v>
      </c>
      <c r="B17" s="4">
        <f t="shared" si="1"/>
        <v>3</v>
      </c>
      <c r="C17" s="6" t="s">
        <v>48</v>
      </c>
      <c r="D17" s="6" t="s">
        <v>49</v>
      </c>
      <c r="E17" s="6">
        <v>2</v>
      </c>
      <c r="F17" s="6">
        <v>3</v>
      </c>
      <c r="G17" s="6">
        <v>4</v>
      </c>
      <c r="T17" s="13" t="s">
        <v>44</v>
      </c>
      <c r="U17" s="4" t="s">
        <v>45</v>
      </c>
      <c r="V17" s="13">
        <v>0.02</v>
      </c>
      <c r="W17" s="14">
        <v>0.03</v>
      </c>
      <c r="X17" s="15">
        <v>0.04</v>
      </c>
      <c r="Y17" s="14">
        <v>276.87950000000001</v>
      </c>
      <c r="Z17" s="14">
        <v>301.18279999999999</v>
      </c>
      <c r="AA17" s="15">
        <v>327.5684</v>
      </c>
      <c r="AB17" s="4">
        <v>50.68889999999999</v>
      </c>
      <c r="AC17" s="4">
        <v>2569.3645832099987</v>
      </c>
      <c r="AG17" s="4" t="s">
        <v>0</v>
      </c>
      <c r="AH17" s="4" t="s">
        <v>0</v>
      </c>
      <c r="AI17" s="4" t="s">
        <v>1</v>
      </c>
      <c r="AJ17" s="4" t="s">
        <v>1</v>
      </c>
      <c r="AK17" s="1">
        <f t="shared" si="0"/>
        <v>1.5625E-2</v>
      </c>
      <c r="AL17" s="27">
        <v>75.3</v>
      </c>
      <c r="AN17" s="1">
        <v>1.5625E-2</v>
      </c>
      <c r="AO17" s="27">
        <v>75.3</v>
      </c>
      <c r="AP17" s="1">
        <f t="shared" si="3"/>
        <v>3.90625E-2</v>
      </c>
      <c r="AQ17" s="27">
        <f t="shared" si="2"/>
        <v>75.3</v>
      </c>
    </row>
    <row r="18" spans="1:43" x14ac:dyDescent="0.2">
      <c r="A18" s="4">
        <v>2</v>
      </c>
      <c r="B18" s="4">
        <f t="shared" si="1"/>
        <v>10</v>
      </c>
      <c r="C18" s="6" t="s">
        <v>50</v>
      </c>
      <c r="D18" s="6" t="s">
        <v>49</v>
      </c>
      <c r="E18" s="6">
        <v>7</v>
      </c>
      <c r="F18" s="6">
        <v>10</v>
      </c>
      <c r="G18" s="6">
        <v>15</v>
      </c>
      <c r="T18" s="13" t="s">
        <v>54</v>
      </c>
      <c r="U18" s="4" t="s">
        <v>52</v>
      </c>
      <c r="V18" s="13">
        <v>0.5</v>
      </c>
      <c r="W18" s="14">
        <v>1</v>
      </c>
      <c r="X18" s="15">
        <v>2</v>
      </c>
      <c r="Y18" s="14">
        <v>319.90179999999998</v>
      </c>
      <c r="Z18" s="14">
        <v>301.18279999999999</v>
      </c>
      <c r="AA18" s="15">
        <v>263.74470000000002</v>
      </c>
      <c r="AB18" s="4">
        <v>56.157099999999957</v>
      </c>
      <c r="AC18" s="4">
        <v>3153.6198804099954</v>
      </c>
      <c r="AG18" s="4" t="s">
        <v>0</v>
      </c>
      <c r="AH18" s="4" t="s">
        <v>0</v>
      </c>
      <c r="AI18" s="4" t="s">
        <v>1</v>
      </c>
      <c r="AJ18" s="4" t="s">
        <v>2</v>
      </c>
      <c r="AK18" s="1">
        <f t="shared" si="0"/>
        <v>7.8125E-3</v>
      </c>
      <c r="AL18" s="27">
        <v>103.51</v>
      </c>
      <c r="AN18" s="1">
        <v>3.90625E-3</v>
      </c>
      <c r="AO18" s="27">
        <v>79.58</v>
      </c>
      <c r="AP18" s="1">
        <f t="shared" si="3"/>
        <v>4.296875E-2</v>
      </c>
      <c r="AQ18" s="27">
        <f t="shared" si="2"/>
        <v>79.58</v>
      </c>
    </row>
    <row r="19" spans="1:43" x14ac:dyDescent="0.2">
      <c r="A19" s="4">
        <v>2</v>
      </c>
      <c r="B19" s="4">
        <f t="shared" si="1"/>
        <v>9</v>
      </c>
      <c r="C19" s="6" t="s">
        <v>51</v>
      </c>
      <c r="D19" s="6" t="s">
        <v>52</v>
      </c>
      <c r="E19" s="6">
        <v>7</v>
      </c>
      <c r="F19" s="6">
        <v>9</v>
      </c>
      <c r="G19" s="6">
        <v>12</v>
      </c>
      <c r="T19" s="13" t="s">
        <v>47</v>
      </c>
      <c r="U19" s="4" t="s">
        <v>45</v>
      </c>
      <c r="V19" s="13">
        <v>0.4</v>
      </c>
      <c r="W19" s="14">
        <v>0.5</v>
      </c>
      <c r="X19" s="15">
        <v>0.6</v>
      </c>
      <c r="Y19" s="14">
        <v>240.9462</v>
      </c>
      <c r="Z19" s="14">
        <v>301.18279999999999</v>
      </c>
      <c r="AA19" s="15">
        <v>361.41930000000002</v>
      </c>
      <c r="AB19" s="4">
        <v>120.47310000000002</v>
      </c>
      <c r="AC19" s="4">
        <v>14513.767823610004</v>
      </c>
      <c r="AG19" s="4" t="s">
        <v>0</v>
      </c>
      <c r="AH19" s="4" t="s">
        <v>0</v>
      </c>
      <c r="AI19" s="4" t="s">
        <v>2</v>
      </c>
      <c r="AJ19" s="4" t="s">
        <v>0</v>
      </c>
      <c r="AK19" s="1">
        <f t="shared" si="0"/>
        <v>3.90625E-3</v>
      </c>
      <c r="AL19" s="27">
        <v>79.58</v>
      </c>
      <c r="AN19" s="1">
        <v>7.8125E-3</v>
      </c>
      <c r="AO19" s="27">
        <v>80.08</v>
      </c>
      <c r="AP19" s="1">
        <f t="shared" si="3"/>
        <v>5.078125E-2</v>
      </c>
      <c r="AQ19" s="27">
        <f t="shared" si="2"/>
        <v>80.08</v>
      </c>
    </row>
    <row r="20" spans="1:43" x14ac:dyDescent="0.2">
      <c r="A20" s="4">
        <v>2</v>
      </c>
      <c r="B20" s="4">
        <f t="shared" si="1"/>
        <v>0.02</v>
      </c>
      <c r="C20" s="6" t="s">
        <v>53</v>
      </c>
      <c r="D20" s="6" t="s">
        <v>45</v>
      </c>
      <c r="E20" s="39">
        <v>0.01</v>
      </c>
      <c r="F20" s="39">
        <v>0.02</v>
      </c>
      <c r="G20" s="39">
        <v>0.03</v>
      </c>
      <c r="T20" s="13" t="s">
        <v>51</v>
      </c>
      <c r="U20" s="4" t="s">
        <v>52</v>
      </c>
      <c r="V20" s="13">
        <v>7</v>
      </c>
      <c r="W20" s="14">
        <v>9</v>
      </c>
      <c r="X20" s="15">
        <v>12</v>
      </c>
      <c r="Y20" s="14">
        <v>225.93369999999999</v>
      </c>
      <c r="Z20" s="14">
        <v>301.18279999999999</v>
      </c>
      <c r="AA20" s="15">
        <v>414.0564</v>
      </c>
      <c r="AB20" s="4">
        <v>188.12270000000001</v>
      </c>
      <c r="AC20" s="4">
        <v>35390.150255290006</v>
      </c>
      <c r="AG20" s="4" t="s">
        <v>0</v>
      </c>
      <c r="AH20" s="4" t="s">
        <v>0</v>
      </c>
      <c r="AI20" s="4" t="s">
        <v>2</v>
      </c>
      <c r="AJ20" s="4" t="s">
        <v>1</v>
      </c>
      <c r="AK20" s="1">
        <f t="shared" si="0"/>
        <v>7.8125E-3</v>
      </c>
      <c r="AL20" s="27">
        <v>105.92</v>
      </c>
      <c r="AN20" s="1">
        <v>7.8125E-3</v>
      </c>
      <c r="AO20" s="27">
        <v>80.08</v>
      </c>
      <c r="AP20" s="1">
        <f t="shared" si="3"/>
        <v>5.859375E-2</v>
      </c>
      <c r="AQ20" s="27">
        <f t="shared" si="2"/>
        <v>80.08</v>
      </c>
    </row>
    <row r="21" spans="1:43" x14ac:dyDescent="0.2">
      <c r="A21" s="4">
        <v>2</v>
      </c>
      <c r="B21" s="4">
        <f t="shared" si="1"/>
        <v>1</v>
      </c>
      <c r="C21" s="22" t="s">
        <v>54</v>
      </c>
      <c r="D21" s="22" t="s">
        <v>52</v>
      </c>
      <c r="E21" s="22">
        <v>0.5</v>
      </c>
      <c r="F21" s="22">
        <v>1</v>
      </c>
      <c r="G21" s="22">
        <v>2</v>
      </c>
      <c r="T21" s="13" t="s">
        <v>50</v>
      </c>
      <c r="U21" s="4" t="s">
        <v>49</v>
      </c>
      <c r="V21" s="13">
        <v>7</v>
      </c>
      <c r="W21" s="14">
        <v>10</v>
      </c>
      <c r="X21" s="15">
        <v>15</v>
      </c>
      <c r="Y21" s="14">
        <v>213.7474</v>
      </c>
      <c r="Z21" s="14">
        <v>301.18279999999999</v>
      </c>
      <c r="AA21" s="15">
        <v>423.65989999999999</v>
      </c>
      <c r="AB21" s="4">
        <v>209.91249999999999</v>
      </c>
      <c r="AC21" s="4">
        <v>44063.257656249996</v>
      </c>
      <c r="AG21" s="4" t="s">
        <v>0</v>
      </c>
      <c r="AH21" s="4" t="s">
        <v>0</v>
      </c>
      <c r="AI21" s="4" t="s">
        <v>2</v>
      </c>
      <c r="AJ21" s="4" t="s">
        <v>2</v>
      </c>
      <c r="AK21" s="1">
        <f t="shared" si="0"/>
        <v>3.90625E-3</v>
      </c>
      <c r="AL21" s="27">
        <v>145.41999999999999</v>
      </c>
      <c r="AN21" s="1">
        <v>7.8125E-3</v>
      </c>
      <c r="AO21" s="27">
        <v>103.51</v>
      </c>
      <c r="AP21" s="1">
        <f t="shared" si="3"/>
        <v>6.640625E-2</v>
      </c>
      <c r="AQ21" s="27">
        <f t="shared" si="2"/>
        <v>103.51</v>
      </c>
    </row>
    <row r="22" spans="1:43" x14ac:dyDescent="0.2">
      <c r="A22" s="4">
        <v>2</v>
      </c>
      <c r="B22" s="4">
        <f t="shared" si="1"/>
        <v>0.1</v>
      </c>
      <c r="C22" s="22" t="s">
        <v>55</v>
      </c>
      <c r="D22" s="22" t="s">
        <v>45</v>
      </c>
      <c r="E22" s="40">
        <v>0.08</v>
      </c>
      <c r="F22" s="40">
        <v>0.1</v>
      </c>
      <c r="G22" s="40">
        <v>0.15</v>
      </c>
      <c r="T22" s="13" t="s">
        <v>42</v>
      </c>
      <c r="U22" s="4" t="s">
        <v>43</v>
      </c>
      <c r="V22" s="13">
        <v>125</v>
      </c>
      <c r="W22" s="14">
        <v>250</v>
      </c>
      <c r="X22" s="15">
        <v>500</v>
      </c>
      <c r="Y22" s="14">
        <v>150.59139999999999</v>
      </c>
      <c r="Z22" s="14">
        <v>301.18279999999999</v>
      </c>
      <c r="AA22" s="15">
        <v>602.36559999999997</v>
      </c>
      <c r="AB22" s="4">
        <v>451.77419999999995</v>
      </c>
      <c r="AC22" s="4">
        <v>204099.92778563994</v>
      </c>
      <c r="AG22" s="4" t="s">
        <v>0</v>
      </c>
      <c r="AH22" s="4" t="s">
        <v>1</v>
      </c>
      <c r="AI22" s="4" t="s">
        <v>0</v>
      </c>
      <c r="AJ22" s="4" t="s">
        <v>0</v>
      </c>
      <c r="AK22" s="1">
        <f t="shared" si="0"/>
        <v>7.8125E-3</v>
      </c>
      <c r="AL22" s="27">
        <v>80.08</v>
      </c>
      <c r="AN22" s="1">
        <v>7.8125E-3</v>
      </c>
      <c r="AO22" s="27">
        <v>105.92</v>
      </c>
      <c r="AP22" s="1">
        <f t="shared" si="3"/>
        <v>7.421875E-2</v>
      </c>
      <c r="AQ22" s="27">
        <f t="shared" si="2"/>
        <v>105.92</v>
      </c>
    </row>
    <row r="23" spans="1:43" x14ac:dyDescent="0.2">
      <c r="A23" s="4"/>
      <c r="B23" s="4" t="str">
        <f t="shared" si="1"/>
        <v/>
      </c>
      <c r="C23" s="22"/>
      <c r="D23" s="22"/>
      <c r="E23" s="22"/>
      <c r="F23" s="22"/>
      <c r="G23" s="22"/>
      <c r="T23" s="13" t="s">
        <v>46</v>
      </c>
      <c r="U23" s="4" t="s">
        <v>45</v>
      </c>
      <c r="V23" s="13">
        <v>0.05</v>
      </c>
      <c r="W23" s="14">
        <v>0.1</v>
      </c>
      <c r="X23" s="15">
        <v>0.2</v>
      </c>
      <c r="Y23" s="14">
        <v>150.59139999999999</v>
      </c>
      <c r="Z23" s="14">
        <v>301.18279999999999</v>
      </c>
      <c r="AA23" s="15">
        <v>602.36559999999997</v>
      </c>
      <c r="AB23" s="4">
        <v>451.77419999999995</v>
      </c>
      <c r="AC23" s="4">
        <v>204099.92778563994</v>
      </c>
      <c r="AG23" s="4" t="s">
        <v>0</v>
      </c>
      <c r="AH23" s="4" t="s">
        <v>1</v>
      </c>
      <c r="AI23" s="4" t="s">
        <v>0</v>
      </c>
      <c r="AJ23" s="4" t="s">
        <v>1</v>
      </c>
      <c r="AK23" s="1">
        <f t="shared" si="0"/>
        <v>1.5625E-2</v>
      </c>
      <c r="AL23" s="27">
        <v>106.87</v>
      </c>
      <c r="AN23" s="1">
        <v>1.5625E-2</v>
      </c>
      <c r="AO23" s="27">
        <v>106.87</v>
      </c>
      <c r="AP23" s="1">
        <f t="shared" si="3"/>
        <v>8.984375E-2</v>
      </c>
      <c r="AQ23" s="27">
        <f t="shared" si="2"/>
        <v>106.87</v>
      </c>
    </row>
    <row r="24" spans="1:43" x14ac:dyDescent="0.2">
      <c r="A24" s="4" t="str">
        <f t="shared" ref="A24:A38" si="4">IF(C24="","",2)</f>
        <v/>
      </c>
      <c r="B24" s="4" t="str">
        <f t="shared" si="1"/>
        <v/>
      </c>
      <c r="C24" s="22"/>
      <c r="D24" s="22"/>
      <c r="E24" s="22"/>
      <c r="F24" s="22"/>
      <c r="G24" s="22"/>
      <c r="T24" s="13"/>
      <c r="U24" s="4"/>
      <c r="V24" s="16"/>
      <c r="W24" s="17"/>
      <c r="X24" s="18"/>
      <c r="Y24" s="17"/>
      <c r="Z24" s="17"/>
      <c r="AA24" s="18"/>
      <c r="AB24" s="4"/>
      <c r="AC24" s="4"/>
      <c r="AG24" s="4" t="s">
        <v>0</v>
      </c>
      <c r="AH24" s="4" t="s">
        <v>1</v>
      </c>
      <c r="AI24" s="4" t="s">
        <v>0</v>
      </c>
      <c r="AJ24" s="4" t="s">
        <v>2</v>
      </c>
      <c r="AK24" s="1">
        <f t="shared" si="0"/>
        <v>7.8125E-3</v>
      </c>
      <c r="AL24" s="27">
        <v>147.06</v>
      </c>
      <c r="AN24" s="1">
        <v>1.5625E-2</v>
      </c>
      <c r="AO24" s="27">
        <v>106.87</v>
      </c>
      <c r="AP24" s="1">
        <f t="shared" si="3"/>
        <v>0.10546875</v>
      </c>
      <c r="AQ24" s="27">
        <f t="shared" si="2"/>
        <v>106.87</v>
      </c>
    </row>
    <row r="25" spans="1:43" x14ac:dyDescent="0.2">
      <c r="A25" s="4" t="str">
        <f t="shared" si="4"/>
        <v/>
      </c>
      <c r="B25" s="4" t="str">
        <f t="shared" si="1"/>
        <v/>
      </c>
      <c r="C25" s="22"/>
      <c r="D25" s="22"/>
      <c r="E25" s="22"/>
      <c r="F25" s="22"/>
      <c r="G25" s="22"/>
      <c r="AG25" s="4" t="s">
        <v>0</v>
      </c>
      <c r="AH25" s="4" t="s">
        <v>1</v>
      </c>
      <c r="AI25" s="4" t="s">
        <v>1</v>
      </c>
      <c r="AJ25" s="4" t="s">
        <v>0</v>
      </c>
      <c r="AK25" s="1">
        <f t="shared" si="0"/>
        <v>1.5625E-2</v>
      </c>
      <c r="AL25" s="27">
        <v>112.97</v>
      </c>
      <c r="AN25" s="1">
        <v>1.5625E-2</v>
      </c>
      <c r="AO25" s="27">
        <v>112.97</v>
      </c>
      <c r="AP25" s="1">
        <f t="shared" si="3"/>
        <v>0.12109375</v>
      </c>
      <c r="AQ25" s="27">
        <f t="shared" si="2"/>
        <v>112.97</v>
      </c>
    </row>
    <row r="26" spans="1:43" x14ac:dyDescent="0.2">
      <c r="A26" s="4" t="str">
        <f t="shared" si="4"/>
        <v/>
      </c>
      <c r="B26" s="4" t="str">
        <f t="shared" si="1"/>
        <v/>
      </c>
      <c r="C26" s="22"/>
      <c r="D26" s="22"/>
      <c r="E26" s="22"/>
      <c r="F26" s="22"/>
      <c r="G26" s="22"/>
      <c r="AG26" s="4" t="s">
        <v>0</v>
      </c>
      <c r="AH26" s="4" t="s">
        <v>1</v>
      </c>
      <c r="AI26" s="4" t="s">
        <v>1</v>
      </c>
      <c r="AJ26" s="4" t="s">
        <v>1</v>
      </c>
      <c r="AK26" s="1">
        <f t="shared" si="0"/>
        <v>3.125E-2</v>
      </c>
      <c r="AL26" s="27">
        <v>150.59</v>
      </c>
      <c r="AN26" s="1">
        <v>1.5625E-2</v>
      </c>
      <c r="AO26" s="27">
        <v>112.97</v>
      </c>
      <c r="AP26" s="1">
        <f t="shared" si="3"/>
        <v>0.13671875</v>
      </c>
      <c r="AQ26" s="27">
        <f t="shared" si="2"/>
        <v>112.97</v>
      </c>
    </row>
    <row r="27" spans="1:43" x14ac:dyDescent="0.2">
      <c r="A27" s="4" t="str">
        <f t="shared" si="4"/>
        <v/>
      </c>
      <c r="B27" s="4" t="str">
        <f t="shared" si="1"/>
        <v/>
      </c>
      <c r="C27" s="22"/>
      <c r="D27" s="22"/>
      <c r="E27" s="22"/>
      <c r="F27" s="22"/>
      <c r="G27" s="22"/>
      <c r="AG27" s="4" t="s">
        <v>0</v>
      </c>
      <c r="AH27" s="4" t="s">
        <v>1</v>
      </c>
      <c r="AI27" s="4" t="s">
        <v>1</v>
      </c>
      <c r="AJ27" s="4" t="s">
        <v>2</v>
      </c>
      <c r="AK27" s="1">
        <f t="shared" si="0"/>
        <v>1.5625E-2</v>
      </c>
      <c r="AL27" s="27">
        <v>207.03</v>
      </c>
      <c r="AN27" s="1">
        <v>3.90625E-3</v>
      </c>
      <c r="AO27" s="27">
        <v>145.41999999999999</v>
      </c>
      <c r="AP27" s="1">
        <f t="shared" si="3"/>
        <v>0.140625</v>
      </c>
      <c r="AQ27" s="27">
        <f t="shared" si="2"/>
        <v>145.41999999999999</v>
      </c>
    </row>
    <row r="28" spans="1:43" x14ac:dyDescent="0.2">
      <c r="A28" s="4" t="str">
        <f t="shared" si="4"/>
        <v/>
      </c>
      <c r="B28" s="4" t="str">
        <f t="shared" si="1"/>
        <v/>
      </c>
      <c r="C28" s="22"/>
      <c r="D28" s="22"/>
      <c r="E28" s="22"/>
      <c r="F28" s="22"/>
      <c r="G28" s="22"/>
      <c r="AG28" s="4" t="s">
        <v>0</v>
      </c>
      <c r="AH28" s="4" t="s">
        <v>1</v>
      </c>
      <c r="AI28" s="4" t="s">
        <v>2</v>
      </c>
      <c r="AJ28" s="4" t="s">
        <v>0</v>
      </c>
      <c r="AK28" s="1">
        <f t="shared" si="0"/>
        <v>7.8125E-3</v>
      </c>
      <c r="AL28" s="27">
        <v>159.16</v>
      </c>
      <c r="AN28" s="1">
        <v>7.8125E-3</v>
      </c>
      <c r="AO28" s="27">
        <v>147.06</v>
      </c>
      <c r="AP28" s="1">
        <f t="shared" si="3"/>
        <v>0.1484375</v>
      </c>
      <c r="AQ28" s="27">
        <f t="shared" si="2"/>
        <v>147.06</v>
      </c>
    </row>
    <row r="29" spans="1:43" x14ac:dyDescent="0.2">
      <c r="A29" s="4" t="str">
        <f t="shared" si="4"/>
        <v/>
      </c>
      <c r="B29" s="4" t="str">
        <f t="shared" si="1"/>
        <v/>
      </c>
      <c r="C29" s="22"/>
      <c r="D29" s="22"/>
      <c r="E29" s="22"/>
      <c r="F29" s="22"/>
      <c r="G29" s="22"/>
      <c r="AG29" s="4" t="s">
        <v>0</v>
      </c>
      <c r="AH29" s="4" t="s">
        <v>1</v>
      </c>
      <c r="AI29" s="4" t="s">
        <v>2</v>
      </c>
      <c r="AJ29" s="4" t="s">
        <v>1</v>
      </c>
      <c r="AK29" s="1">
        <f t="shared" si="0"/>
        <v>1.5625E-2</v>
      </c>
      <c r="AL29" s="27">
        <v>211.83</v>
      </c>
      <c r="AN29" s="1">
        <v>7.8125E-3</v>
      </c>
      <c r="AO29" s="27">
        <v>147.06</v>
      </c>
      <c r="AP29" s="1">
        <f t="shared" si="3"/>
        <v>0.15625</v>
      </c>
      <c r="AQ29" s="27">
        <f t="shared" si="2"/>
        <v>147.06</v>
      </c>
    </row>
    <row r="30" spans="1:43" x14ac:dyDescent="0.2">
      <c r="A30" s="4" t="str">
        <f t="shared" si="4"/>
        <v/>
      </c>
      <c r="B30" s="4" t="str">
        <f t="shared" si="1"/>
        <v/>
      </c>
      <c r="C30" s="22"/>
      <c r="D30" s="22"/>
      <c r="E30" s="22"/>
      <c r="F30" s="22"/>
      <c r="G30" s="22"/>
      <c r="AG30" s="4" t="s">
        <v>0</v>
      </c>
      <c r="AH30" s="4" t="s">
        <v>1</v>
      </c>
      <c r="AI30" s="4" t="s">
        <v>2</v>
      </c>
      <c r="AJ30" s="4" t="s">
        <v>2</v>
      </c>
      <c r="AK30" s="1">
        <f t="shared" si="0"/>
        <v>7.8125E-3</v>
      </c>
      <c r="AL30" s="27">
        <v>290.83999999999997</v>
      </c>
      <c r="AN30" s="1">
        <v>3.125E-2</v>
      </c>
      <c r="AO30" s="27">
        <v>150.59</v>
      </c>
      <c r="AP30" s="1">
        <f t="shared" si="3"/>
        <v>0.1875</v>
      </c>
      <c r="AQ30" s="27">
        <f t="shared" si="2"/>
        <v>150.59</v>
      </c>
    </row>
    <row r="31" spans="1:43" x14ac:dyDescent="0.2">
      <c r="A31" s="4" t="str">
        <f t="shared" si="4"/>
        <v/>
      </c>
      <c r="B31" s="4" t="str">
        <f t="shared" si="1"/>
        <v/>
      </c>
      <c r="C31" s="22"/>
      <c r="D31" s="22"/>
      <c r="E31" s="22"/>
      <c r="F31" s="22"/>
      <c r="G31" s="22"/>
      <c r="AG31" s="4" t="s">
        <v>0</v>
      </c>
      <c r="AH31" s="4" t="s">
        <v>2</v>
      </c>
      <c r="AI31" s="4" t="s">
        <v>0</v>
      </c>
      <c r="AJ31" s="4" t="s">
        <v>0</v>
      </c>
      <c r="AK31" s="1">
        <f t="shared" si="0"/>
        <v>3.90625E-3</v>
      </c>
      <c r="AL31" s="27">
        <v>160.16999999999999</v>
      </c>
      <c r="AN31" s="1">
        <v>3.125E-2</v>
      </c>
      <c r="AO31" s="27">
        <v>150.59</v>
      </c>
      <c r="AP31" s="1">
        <f t="shared" si="3"/>
        <v>0.21875</v>
      </c>
      <c r="AQ31" s="27">
        <f t="shared" si="2"/>
        <v>150.59</v>
      </c>
    </row>
    <row r="32" spans="1:43" x14ac:dyDescent="0.2">
      <c r="A32" s="4" t="str">
        <f t="shared" si="4"/>
        <v/>
      </c>
      <c r="B32" s="4" t="str">
        <f t="shared" si="1"/>
        <v/>
      </c>
      <c r="C32" s="22"/>
      <c r="D32" s="22"/>
      <c r="E32" s="22"/>
      <c r="F32" s="22"/>
      <c r="G32" s="22"/>
      <c r="AG32" s="4" t="s">
        <v>0</v>
      </c>
      <c r="AH32" s="4" t="s">
        <v>2</v>
      </c>
      <c r="AI32" s="4" t="s">
        <v>0</v>
      </c>
      <c r="AJ32" s="4" t="s">
        <v>1</v>
      </c>
      <c r="AK32" s="1">
        <f t="shared" si="0"/>
        <v>7.8125E-3</v>
      </c>
      <c r="AL32" s="27">
        <v>213.75</v>
      </c>
      <c r="AN32" s="1">
        <v>7.8125E-3</v>
      </c>
      <c r="AO32" s="27">
        <v>159.16</v>
      </c>
      <c r="AP32" s="1">
        <f t="shared" si="3"/>
        <v>0.2265625</v>
      </c>
      <c r="AQ32" s="27">
        <f t="shared" si="2"/>
        <v>159.16</v>
      </c>
    </row>
    <row r="33" spans="1:43" x14ac:dyDescent="0.2">
      <c r="A33" s="4" t="str">
        <f t="shared" si="4"/>
        <v/>
      </c>
      <c r="B33" s="4" t="str">
        <f t="shared" si="1"/>
        <v/>
      </c>
      <c r="C33" s="22"/>
      <c r="D33" s="22"/>
      <c r="E33" s="22"/>
      <c r="F33" s="22"/>
      <c r="G33" s="22"/>
      <c r="AG33" s="4" t="s">
        <v>0</v>
      </c>
      <c r="AH33" s="4" t="s">
        <v>2</v>
      </c>
      <c r="AI33" s="4" t="s">
        <v>0</v>
      </c>
      <c r="AJ33" s="4" t="s">
        <v>2</v>
      </c>
      <c r="AK33" s="1">
        <f t="shared" si="0"/>
        <v>3.90625E-3</v>
      </c>
      <c r="AL33" s="27">
        <v>294.12</v>
      </c>
      <c r="AN33" s="1">
        <v>7.8125E-3</v>
      </c>
      <c r="AO33" s="27">
        <v>159.16</v>
      </c>
      <c r="AP33" s="1">
        <f t="shared" si="3"/>
        <v>0.234375</v>
      </c>
      <c r="AQ33" s="27">
        <f t="shared" si="2"/>
        <v>159.16</v>
      </c>
    </row>
    <row r="34" spans="1:43" x14ac:dyDescent="0.2">
      <c r="A34" s="4" t="str">
        <f t="shared" si="4"/>
        <v/>
      </c>
      <c r="B34" s="4" t="str">
        <f t="shared" si="1"/>
        <v/>
      </c>
      <c r="C34" s="22"/>
      <c r="D34" s="22"/>
      <c r="E34" s="22"/>
      <c r="F34" s="22"/>
      <c r="G34" s="22"/>
      <c r="AG34" s="4" t="s">
        <v>0</v>
      </c>
      <c r="AH34" s="4" t="s">
        <v>2</v>
      </c>
      <c r="AI34" s="4" t="s">
        <v>1</v>
      </c>
      <c r="AJ34" s="4" t="s">
        <v>0</v>
      </c>
      <c r="AK34" s="1">
        <f t="shared" si="0"/>
        <v>7.8125E-3</v>
      </c>
      <c r="AL34" s="27">
        <v>225.93</v>
      </c>
      <c r="AN34" s="1">
        <v>3.90625E-3</v>
      </c>
      <c r="AO34" s="27">
        <v>160.16999999999999</v>
      </c>
      <c r="AP34" s="1">
        <f t="shared" si="3"/>
        <v>0.23828125</v>
      </c>
      <c r="AQ34" s="27">
        <f t="shared" si="2"/>
        <v>160.16999999999999</v>
      </c>
    </row>
    <row r="35" spans="1:43" x14ac:dyDescent="0.2">
      <c r="A35" s="4" t="str">
        <f t="shared" si="4"/>
        <v/>
      </c>
      <c r="B35" s="4" t="str">
        <f t="shared" si="1"/>
        <v/>
      </c>
      <c r="C35" s="22"/>
      <c r="D35" s="22"/>
      <c r="E35" s="22"/>
      <c r="F35" s="22"/>
      <c r="G35" s="22"/>
      <c r="AG35" s="4" t="s">
        <v>0</v>
      </c>
      <c r="AH35" s="4" t="s">
        <v>2</v>
      </c>
      <c r="AI35" s="4" t="s">
        <v>1</v>
      </c>
      <c r="AJ35" s="4" t="s">
        <v>1</v>
      </c>
      <c r="AK35" s="1">
        <f t="shared" si="0"/>
        <v>1.5625E-2</v>
      </c>
      <c r="AL35" s="27">
        <v>301.18</v>
      </c>
      <c r="AN35" s="1">
        <v>1.5625E-2</v>
      </c>
      <c r="AO35" s="27">
        <v>160.16999999999999</v>
      </c>
      <c r="AP35" s="1">
        <f t="shared" si="3"/>
        <v>0.25390625</v>
      </c>
      <c r="AQ35" s="27">
        <f t="shared" si="2"/>
        <v>160.16999999999999</v>
      </c>
    </row>
    <row r="36" spans="1:43" x14ac:dyDescent="0.2">
      <c r="A36" s="4" t="str">
        <f t="shared" si="4"/>
        <v/>
      </c>
      <c r="B36" s="4" t="str">
        <f t="shared" si="1"/>
        <v/>
      </c>
      <c r="C36" s="22"/>
      <c r="D36" s="22"/>
      <c r="E36" s="22"/>
      <c r="F36" s="22"/>
      <c r="G36" s="22"/>
      <c r="AG36" s="4" t="s">
        <v>0</v>
      </c>
      <c r="AH36" s="4" t="s">
        <v>2</v>
      </c>
      <c r="AI36" s="4" t="s">
        <v>1</v>
      </c>
      <c r="AJ36" s="4" t="s">
        <v>2</v>
      </c>
      <c r="AK36" s="1">
        <f t="shared" si="0"/>
        <v>7.8125E-3</v>
      </c>
      <c r="AL36" s="27">
        <v>414.06</v>
      </c>
      <c r="AN36" s="1">
        <v>3.90625E-3</v>
      </c>
      <c r="AO36" s="27">
        <v>160.16999999999999</v>
      </c>
      <c r="AP36" s="1">
        <f t="shared" si="3"/>
        <v>0.2578125</v>
      </c>
      <c r="AQ36" s="27">
        <f t="shared" si="2"/>
        <v>160.16999999999999</v>
      </c>
    </row>
    <row r="37" spans="1:43" x14ac:dyDescent="0.2">
      <c r="A37" s="4" t="str">
        <f t="shared" si="4"/>
        <v/>
      </c>
      <c r="B37" s="4" t="str">
        <f t="shared" si="1"/>
        <v/>
      </c>
      <c r="C37" s="22"/>
      <c r="D37" s="22"/>
      <c r="E37" s="22"/>
      <c r="F37" s="22"/>
      <c r="G37" s="22"/>
      <c r="AG37" s="4" t="s">
        <v>0</v>
      </c>
      <c r="AH37" s="4" t="s">
        <v>2</v>
      </c>
      <c r="AI37" s="4" t="s">
        <v>2</v>
      </c>
      <c r="AJ37" s="4" t="s">
        <v>0</v>
      </c>
      <c r="AK37" s="1">
        <f t="shared" si="0"/>
        <v>3.90625E-3</v>
      </c>
      <c r="AL37" s="27">
        <v>318.32</v>
      </c>
      <c r="AN37" s="1">
        <v>1.5625E-2</v>
      </c>
      <c r="AO37" s="27">
        <v>207.03</v>
      </c>
      <c r="AP37" s="1">
        <f t="shared" si="3"/>
        <v>0.2734375</v>
      </c>
      <c r="AQ37" s="27">
        <f t="shared" si="2"/>
        <v>207.03</v>
      </c>
    </row>
    <row r="38" spans="1:43" x14ac:dyDescent="0.2">
      <c r="A38" s="4" t="str">
        <f t="shared" si="4"/>
        <v/>
      </c>
      <c r="B38" s="4" t="str">
        <f t="shared" si="1"/>
        <v/>
      </c>
      <c r="C38" s="22"/>
      <c r="D38" s="22"/>
      <c r="E38" s="22"/>
      <c r="F38" s="22"/>
      <c r="G38" s="22"/>
      <c r="AG38" s="4" t="s">
        <v>0</v>
      </c>
      <c r="AH38" s="4" t="s">
        <v>2</v>
      </c>
      <c r="AI38" s="4" t="s">
        <v>2</v>
      </c>
      <c r="AJ38" s="4" t="s">
        <v>1</v>
      </c>
      <c r="AK38" s="1">
        <f t="shared" si="0"/>
        <v>7.8125E-3</v>
      </c>
      <c r="AL38" s="27">
        <v>423.66</v>
      </c>
      <c r="AN38" s="1">
        <v>1.5625E-2</v>
      </c>
      <c r="AO38" s="27">
        <v>207.03</v>
      </c>
      <c r="AP38" s="1">
        <f t="shared" si="3"/>
        <v>0.2890625</v>
      </c>
      <c r="AQ38" s="27">
        <f t="shared" si="2"/>
        <v>207.03</v>
      </c>
    </row>
    <row r="39" spans="1:43" x14ac:dyDescent="0.2">
      <c r="AG39" s="4" t="s">
        <v>0</v>
      </c>
      <c r="AH39" s="4" t="s">
        <v>2</v>
      </c>
      <c r="AI39" s="4" t="s">
        <v>2</v>
      </c>
      <c r="AJ39" s="4" t="s">
        <v>2</v>
      </c>
      <c r="AK39" s="1">
        <f t="shared" si="0"/>
        <v>3.90625E-3</v>
      </c>
      <c r="AL39" s="27">
        <v>581.67999999999995</v>
      </c>
      <c r="AN39" s="1">
        <v>1.5625E-2</v>
      </c>
      <c r="AO39" s="27">
        <v>211.83</v>
      </c>
      <c r="AP39" s="1">
        <f t="shared" si="3"/>
        <v>0.3046875</v>
      </c>
      <c r="AQ39" s="27">
        <f t="shared" si="2"/>
        <v>211.83</v>
      </c>
    </row>
    <row r="40" spans="1:43" x14ac:dyDescent="0.2">
      <c r="AG40" s="4" t="s">
        <v>1</v>
      </c>
      <c r="AH40" s="4" t="s">
        <v>0</v>
      </c>
      <c r="AI40" s="4" t="s">
        <v>0</v>
      </c>
      <c r="AJ40" s="4" t="s">
        <v>0</v>
      </c>
      <c r="AK40" s="1">
        <f t="shared" si="0"/>
        <v>7.8125E-3</v>
      </c>
      <c r="AL40" s="27">
        <v>80.08</v>
      </c>
      <c r="AN40" s="1">
        <v>1.5625E-2</v>
      </c>
      <c r="AO40" s="27">
        <v>211.83</v>
      </c>
      <c r="AP40" s="1">
        <f t="shared" si="3"/>
        <v>0.3203125</v>
      </c>
      <c r="AQ40" s="27">
        <f t="shared" si="2"/>
        <v>211.83</v>
      </c>
    </row>
    <row r="41" spans="1:43" x14ac:dyDescent="0.2">
      <c r="AG41" s="4" t="s">
        <v>1</v>
      </c>
      <c r="AH41" s="4" t="s">
        <v>0</v>
      </c>
      <c r="AI41" s="4" t="s">
        <v>0</v>
      </c>
      <c r="AJ41" s="4" t="s">
        <v>1</v>
      </c>
      <c r="AK41" s="1">
        <f t="shared" si="0"/>
        <v>1.5625E-2</v>
      </c>
      <c r="AL41" s="27">
        <v>106.87</v>
      </c>
      <c r="AN41" s="1">
        <v>7.8125E-3</v>
      </c>
      <c r="AO41" s="27">
        <v>213.75</v>
      </c>
      <c r="AP41" s="1">
        <f t="shared" si="3"/>
        <v>0.328125</v>
      </c>
      <c r="AQ41" s="27">
        <f t="shared" si="2"/>
        <v>213.75</v>
      </c>
    </row>
    <row r="42" spans="1:43" x14ac:dyDescent="0.2">
      <c r="AG42" s="4" t="s">
        <v>1</v>
      </c>
      <c r="AH42" s="4" t="s">
        <v>0</v>
      </c>
      <c r="AI42" s="4" t="s">
        <v>0</v>
      </c>
      <c r="AJ42" s="4" t="s">
        <v>2</v>
      </c>
      <c r="AK42" s="1">
        <f t="shared" si="0"/>
        <v>7.8125E-3</v>
      </c>
      <c r="AL42" s="27">
        <v>147.06</v>
      </c>
      <c r="AN42" s="1">
        <v>3.125E-2</v>
      </c>
      <c r="AO42" s="27">
        <v>213.75</v>
      </c>
      <c r="AP42" s="1">
        <f t="shared" si="3"/>
        <v>0.359375</v>
      </c>
      <c r="AQ42" s="27">
        <f t="shared" si="2"/>
        <v>213.75</v>
      </c>
    </row>
    <row r="43" spans="1:43" x14ac:dyDescent="0.2">
      <c r="AG43" s="4" t="s">
        <v>1</v>
      </c>
      <c r="AH43" s="4" t="s">
        <v>0</v>
      </c>
      <c r="AI43" s="4" t="s">
        <v>1</v>
      </c>
      <c r="AJ43" s="4" t="s">
        <v>0</v>
      </c>
      <c r="AK43" s="1">
        <f t="shared" si="0"/>
        <v>1.5625E-2</v>
      </c>
      <c r="AL43" s="27">
        <v>112.97</v>
      </c>
      <c r="AN43" s="1">
        <v>7.8125E-3</v>
      </c>
      <c r="AO43" s="27">
        <v>213.75</v>
      </c>
      <c r="AP43" s="1">
        <f t="shared" si="3"/>
        <v>0.3671875</v>
      </c>
      <c r="AQ43" s="27">
        <f t="shared" si="2"/>
        <v>213.75</v>
      </c>
    </row>
    <row r="44" spans="1:43" x14ac:dyDescent="0.2">
      <c r="AG44" s="4" t="s">
        <v>1</v>
      </c>
      <c r="AH44" s="4" t="s">
        <v>0</v>
      </c>
      <c r="AI44" s="4" t="s">
        <v>1</v>
      </c>
      <c r="AJ44" s="4" t="s">
        <v>1</v>
      </c>
      <c r="AK44" s="1">
        <f t="shared" si="0"/>
        <v>3.125E-2</v>
      </c>
      <c r="AL44" s="27">
        <v>150.59</v>
      </c>
      <c r="AN44" s="1">
        <v>7.8125E-3</v>
      </c>
      <c r="AO44" s="27">
        <v>225.93</v>
      </c>
      <c r="AP44" s="1">
        <f t="shared" si="3"/>
        <v>0.375</v>
      </c>
      <c r="AQ44" s="27">
        <f t="shared" si="2"/>
        <v>225.93</v>
      </c>
    </row>
    <row r="45" spans="1:43" x14ac:dyDescent="0.2">
      <c r="AG45" s="4" t="s">
        <v>1</v>
      </c>
      <c r="AH45" s="4" t="s">
        <v>0</v>
      </c>
      <c r="AI45" s="4" t="s">
        <v>1</v>
      </c>
      <c r="AJ45" s="4" t="s">
        <v>2</v>
      </c>
      <c r="AK45" s="1">
        <f t="shared" ref="AK45:AK76" si="5">p(AG45)*p(AH45)*p(AI45)*p(AJ45)</f>
        <v>1.5625E-2</v>
      </c>
      <c r="AL45" s="27">
        <v>207.03</v>
      </c>
      <c r="AN45" s="1">
        <v>3.125E-2</v>
      </c>
      <c r="AO45" s="27">
        <v>225.93</v>
      </c>
      <c r="AP45" s="1">
        <f t="shared" si="3"/>
        <v>0.40625</v>
      </c>
      <c r="AQ45" s="27">
        <f t="shared" si="2"/>
        <v>225.93</v>
      </c>
    </row>
    <row r="46" spans="1:43" x14ac:dyDescent="0.2">
      <c r="AG46" s="4" t="s">
        <v>1</v>
      </c>
      <c r="AH46" s="4" t="s">
        <v>0</v>
      </c>
      <c r="AI46" s="4" t="s">
        <v>2</v>
      </c>
      <c r="AJ46" s="4" t="s">
        <v>0</v>
      </c>
      <c r="AK46" s="1">
        <f t="shared" si="5"/>
        <v>7.8125E-3</v>
      </c>
      <c r="AL46" s="27">
        <v>159.16</v>
      </c>
      <c r="AN46" s="1">
        <v>7.8125E-3</v>
      </c>
      <c r="AO46" s="27">
        <v>225.93</v>
      </c>
      <c r="AP46" s="1">
        <f t="shared" si="3"/>
        <v>0.4140625</v>
      </c>
      <c r="AQ46" s="27">
        <f t="shared" si="2"/>
        <v>225.93</v>
      </c>
    </row>
    <row r="47" spans="1:43" x14ac:dyDescent="0.2">
      <c r="AG47" s="4" t="s">
        <v>1</v>
      </c>
      <c r="AH47" s="4" t="s">
        <v>0</v>
      </c>
      <c r="AI47" s="4" t="s">
        <v>2</v>
      </c>
      <c r="AJ47" s="4" t="s">
        <v>1</v>
      </c>
      <c r="AK47" s="1">
        <f t="shared" si="5"/>
        <v>1.5625E-2</v>
      </c>
      <c r="AL47" s="27">
        <v>211.83</v>
      </c>
      <c r="AN47" s="1">
        <v>7.8125E-3</v>
      </c>
      <c r="AO47" s="27">
        <v>290.83999999999997</v>
      </c>
      <c r="AP47" s="1">
        <f t="shared" si="3"/>
        <v>0.421875</v>
      </c>
      <c r="AQ47" s="27">
        <f t="shared" si="2"/>
        <v>290.83999999999997</v>
      </c>
    </row>
    <row r="48" spans="1:43" x14ac:dyDescent="0.2">
      <c r="AG48" s="4" t="s">
        <v>1</v>
      </c>
      <c r="AH48" s="4" t="s">
        <v>0</v>
      </c>
      <c r="AI48" s="4" t="s">
        <v>2</v>
      </c>
      <c r="AJ48" s="4" t="s">
        <v>2</v>
      </c>
      <c r="AK48" s="1">
        <f t="shared" si="5"/>
        <v>7.8125E-3</v>
      </c>
      <c r="AL48" s="27">
        <v>290.83999999999997</v>
      </c>
      <c r="AN48" s="1">
        <v>7.8125E-3</v>
      </c>
      <c r="AO48" s="27">
        <v>290.83999999999997</v>
      </c>
      <c r="AP48" s="1">
        <f t="shared" si="3"/>
        <v>0.4296875</v>
      </c>
      <c r="AQ48" s="27">
        <f t="shared" si="2"/>
        <v>290.83999999999997</v>
      </c>
    </row>
    <row r="49" spans="11:43" x14ac:dyDescent="0.2">
      <c r="AG49" s="4" t="s">
        <v>1</v>
      </c>
      <c r="AH49" s="4" t="s">
        <v>1</v>
      </c>
      <c r="AI49" s="4" t="s">
        <v>0</v>
      </c>
      <c r="AJ49" s="4" t="s">
        <v>0</v>
      </c>
      <c r="AK49" s="1">
        <f t="shared" si="5"/>
        <v>1.5625E-2</v>
      </c>
      <c r="AL49" s="27">
        <v>160.16999999999999</v>
      </c>
      <c r="AN49" s="1">
        <v>3.90625E-3</v>
      </c>
      <c r="AO49" s="27">
        <v>294.12</v>
      </c>
      <c r="AP49" s="1">
        <f t="shared" si="3"/>
        <v>0.43359375</v>
      </c>
      <c r="AQ49" s="27">
        <f t="shared" si="2"/>
        <v>294.12</v>
      </c>
    </row>
    <row r="50" spans="11:43" x14ac:dyDescent="0.2">
      <c r="AG50" s="4" t="s">
        <v>1</v>
      </c>
      <c r="AH50" s="4" t="s">
        <v>1</v>
      </c>
      <c r="AI50" s="4" t="s">
        <v>0</v>
      </c>
      <c r="AJ50" s="4" t="s">
        <v>1</v>
      </c>
      <c r="AK50" s="1">
        <f t="shared" si="5"/>
        <v>3.125E-2</v>
      </c>
      <c r="AL50" s="27">
        <v>213.75</v>
      </c>
      <c r="AN50" s="1">
        <v>1.5625E-2</v>
      </c>
      <c r="AO50" s="27">
        <v>294.12</v>
      </c>
      <c r="AP50" s="1">
        <f t="shared" si="3"/>
        <v>0.44921875</v>
      </c>
      <c r="AQ50" s="27">
        <f t="shared" si="2"/>
        <v>294.12</v>
      </c>
    </row>
    <row r="51" spans="11:43" x14ac:dyDescent="0.2">
      <c r="AG51" s="4" t="s">
        <v>1</v>
      </c>
      <c r="AH51" s="4" t="s">
        <v>1</v>
      </c>
      <c r="AI51" s="4" t="s">
        <v>0</v>
      </c>
      <c r="AJ51" s="4" t="s">
        <v>2</v>
      </c>
      <c r="AK51" s="1">
        <f t="shared" si="5"/>
        <v>1.5625E-2</v>
      </c>
      <c r="AL51" s="27">
        <v>294.12</v>
      </c>
      <c r="AN51" s="1">
        <v>3.90625E-3</v>
      </c>
      <c r="AO51" s="27">
        <v>294.12</v>
      </c>
      <c r="AP51" s="1">
        <f t="shared" si="3"/>
        <v>0.453125</v>
      </c>
      <c r="AQ51" s="27">
        <f t="shared" si="2"/>
        <v>294.12</v>
      </c>
    </row>
    <row r="52" spans="11:43" x14ac:dyDescent="0.2">
      <c r="AG52" s="4" t="s">
        <v>1</v>
      </c>
      <c r="AH52" s="4" t="s">
        <v>1</v>
      </c>
      <c r="AI52" s="4" t="s">
        <v>1</v>
      </c>
      <c r="AJ52" s="4" t="s">
        <v>0</v>
      </c>
      <c r="AK52" s="1">
        <f t="shared" si="5"/>
        <v>3.125E-2</v>
      </c>
      <c r="AL52" s="27">
        <v>225.93</v>
      </c>
      <c r="AN52" s="1">
        <v>1.5625E-2</v>
      </c>
      <c r="AO52" s="27">
        <v>301.18</v>
      </c>
      <c r="AP52" s="1">
        <f t="shared" si="3"/>
        <v>0.46875</v>
      </c>
      <c r="AQ52" s="27">
        <f t="shared" si="2"/>
        <v>301.18</v>
      </c>
    </row>
    <row r="53" spans="11:43" x14ac:dyDescent="0.2">
      <c r="AG53" s="4" t="s">
        <v>1</v>
      </c>
      <c r="AH53" s="4" t="s">
        <v>1</v>
      </c>
      <c r="AI53" s="4" t="s">
        <v>1</v>
      </c>
      <c r="AJ53" s="4" t="s">
        <v>1</v>
      </c>
      <c r="AK53" s="1">
        <f t="shared" si="5"/>
        <v>6.25E-2</v>
      </c>
      <c r="AL53" s="27">
        <v>301.18</v>
      </c>
      <c r="AN53" s="1">
        <v>6.25E-2</v>
      </c>
      <c r="AO53" s="27">
        <v>301.18</v>
      </c>
      <c r="AP53" s="1">
        <f t="shared" si="3"/>
        <v>0.53125</v>
      </c>
      <c r="AQ53" s="27">
        <f t="shared" si="2"/>
        <v>301.18</v>
      </c>
    </row>
    <row r="54" spans="11:43" x14ac:dyDescent="0.2">
      <c r="AG54" s="4" t="s">
        <v>1</v>
      </c>
      <c r="AH54" s="4" t="s">
        <v>1</v>
      </c>
      <c r="AI54" s="4" t="s">
        <v>1</v>
      </c>
      <c r="AJ54" s="4" t="s">
        <v>2</v>
      </c>
      <c r="AK54" s="1">
        <f t="shared" si="5"/>
        <v>3.125E-2</v>
      </c>
      <c r="AL54" s="27">
        <v>414.06</v>
      </c>
      <c r="AN54" s="1">
        <v>1.5625E-2</v>
      </c>
      <c r="AO54" s="27">
        <v>301.18</v>
      </c>
      <c r="AP54" s="1">
        <f t="shared" si="3"/>
        <v>0.546875</v>
      </c>
      <c r="AQ54" s="27">
        <f t="shared" si="2"/>
        <v>301.18</v>
      </c>
    </row>
    <row r="55" spans="11:43" x14ac:dyDescent="0.2">
      <c r="AG55" s="4" t="s">
        <v>1</v>
      </c>
      <c r="AH55" s="4" t="s">
        <v>1</v>
      </c>
      <c r="AI55" s="4" t="s">
        <v>2</v>
      </c>
      <c r="AJ55" s="4" t="s">
        <v>0</v>
      </c>
      <c r="AK55" s="1">
        <f t="shared" si="5"/>
        <v>1.5625E-2</v>
      </c>
      <c r="AL55" s="27">
        <v>318.32</v>
      </c>
      <c r="AN55" s="1">
        <v>3.90625E-3</v>
      </c>
      <c r="AO55" s="27">
        <v>318.32</v>
      </c>
      <c r="AP55" s="1">
        <f t="shared" si="3"/>
        <v>0.55078125</v>
      </c>
      <c r="AQ55" s="27">
        <f t="shared" si="2"/>
        <v>318.32</v>
      </c>
    </row>
    <row r="56" spans="11:43" x14ac:dyDescent="0.2">
      <c r="K56" s="1" t="s">
        <v>27</v>
      </c>
      <c r="L56" s="32">
        <f>C10</f>
        <v>404.51003906250008</v>
      </c>
      <c r="N56" s="29">
        <v>0.1</v>
      </c>
      <c r="O56" s="29">
        <v>0.5</v>
      </c>
      <c r="P56" s="29">
        <v>0.9</v>
      </c>
      <c r="AG56" s="4" t="s">
        <v>1</v>
      </c>
      <c r="AH56" s="4" t="s">
        <v>1</v>
      </c>
      <c r="AI56" s="4" t="s">
        <v>2</v>
      </c>
      <c r="AJ56" s="4" t="s">
        <v>1</v>
      </c>
      <c r="AK56" s="1">
        <f t="shared" si="5"/>
        <v>3.125E-2</v>
      </c>
      <c r="AL56" s="27">
        <v>423.66</v>
      </c>
      <c r="AN56" s="1">
        <v>1.5625E-2</v>
      </c>
      <c r="AO56" s="27">
        <v>318.32</v>
      </c>
      <c r="AP56" s="1">
        <f t="shared" si="3"/>
        <v>0.56640625</v>
      </c>
      <c r="AQ56" s="27">
        <f t="shared" si="2"/>
        <v>318.32</v>
      </c>
    </row>
    <row r="57" spans="11:43" x14ac:dyDescent="0.2">
      <c r="N57" s="32">
        <f>VLOOKUP(N56,$AP$13:$AQ$93,2,TRUE)</f>
        <v>106.87</v>
      </c>
      <c r="O57" s="32">
        <f t="shared" ref="O57:P57" si="6">VLOOKUP(O56,$AP$13:$AQ$93,2,TRUE)</f>
        <v>301.18</v>
      </c>
      <c r="P57" s="32">
        <f t="shared" si="6"/>
        <v>828.11</v>
      </c>
      <c r="AG57" s="4" t="s">
        <v>1</v>
      </c>
      <c r="AH57" s="4" t="s">
        <v>1</v>
      </c>
      <c r="AI57" s="4" t="s">
        <v>2</v>
      </c>
      <c r="AJ57" s="4" t="s">
        <v>2</v>
      </c>
      <c r="AK57" s="1">
        <f t="shared" si="5"/>
        <v>1.5625E-2</v>
      </c>
      <c r="AL57" s="27">
        <v>581.67999999999995</v>
      </c>
      <c r="AN57" s="1">
        <v>3.90625E-3</v>
      </c>
      <c r="AO57" s="27">
        <v>318.32</v>
      </c>
      <c r="AP57" s="1">
        <f t="shared" si="3"/>
        <v>0.5703125</v>
      </c>
      <c r="AQ57" s="27">
        <f t="shared" si="2"/>
        <v>318.32</v>
      </c>
    </row>
    <row r="58" spans="11:43" x14ac:dyDescent="0.2">
      <c r="AG58" s="4" t="s">
        <v>1</v>
      </c>
      <c r="AH58" s="4" t="s">
        <v>2</v>
      </c>
      <c r="AI58" s="4" t="s">
        <v>0</v>
      </c>
      <c r="AJ58" s="4" t="s">
        <v>0</v>
      </c>
      <c r="AK58" s="1">
        <f t="shared" si="5"/>
        <v>7.8125E-3</v>
      </c>
      <c r="AL58" s="27">
        <v>320.33999999999997</v>
      </c>
      <c r="AN58" s="1">
        <v>7.8125E-3</v>
      </c>
      <c r="AO58" s="27">
        <v>320.33999999999997</v>
      </c>
      <c r="AP58" s="1">
        <f t="shared" si="3"/>
        <v>0.578125</v>
      </c>
      <c r="AQ58" s="27">
        <f t="shared" si="2"/>
        <v>320.33999999999997</v>
      </c>
    </row>
    <row r="59" spans="11:43" x14ac:dyDescent="0.2">
      <c r="AG59" s="4" t="s">
        <v>1</v>
      </c>
      <c r="AH59" s="4" t="s">
        <v>2</v>
      </c>
      <c r="AI59" s="4" t="s">
        <v>0</v>
      </c>
      <c r="AJ59" s="4" t="s">
        <v>1</v>
      </c>
      <c r="AK59" s="1">
        <f t="shared" si="5"/>
        <v>1.5625E-2</v>
      </c>
      <c r="AL59" s="27">
        <v>427.49</v>
      </c>
      <c r="AN59" s="1">
        <v>7.8125E-3</v>
      </c>
      <c r="AO59" s="27">
        <v>320.33999999999997</v>
      </c>
      <c r="AP59" s="1">
        <f t="shared" si="3"/>
        <v>0.5859375</v>
      </c>
      <c r="AQ59" s="27">
        <f t="shared" si="2"/>
        <v>320.33999999999997</v>
      </c>
    </row>
    <row r="60" spans="11:43" x14ac:dyDescent="0.2">
      <c r="AG60" s="4" t="s">
        <v>1</v>
      </c>
      <c r="AH60" s="4" t="s">
        <v>2</v>
      </c>
      <c r="AI60" s="4" t="s">
        <v>0</v>
      </c>
      <c r="AJ60" s="4" t="s">
        <v>2</v>
      </c>
      <c r="AK60" s="1">
        <f t="shared" si="5"/>
        <v>7.8125E-3</v>
      </c>
      <c r="AL60" s="27">
        <v>588.23</v>
      </c>
      <c r="AN60" s="1">
        <v>7.8125E-3</v>
      </c>
      <c r="AO60" s="27">
        <v>414.06</v>
      </c>
      <c r="AP60" s="1">
        <f t="shared" si="3"/>
        <v>0.59375</v>
      </c>
      <c r="AQ60" s="27">
        <f t="shared" si="2"/>
        <v>414.06</v>
      </c>
    </row>
    <row r="61" spans="11:43" x14ac:dyDescent="0.2">
      <c r="K61" s="30"/>
      <c r="L61" s="30"/>
      <c r="M61" s="30"/>
      <c r="N61" s="30"/>
      <c r="O61" s="30"/>
      <c r="P61" s="30"/>
      <c r="AG61" s="4" t="s">
        <v>1</v>
      </c>
      <c r="AH61" s="4" t="s">
        <v>2</v>
      </c>
      <c r="AI61" s="4" t="s">
        <v>1</v>
      </c>
      <c r="AJ61" s="4" t="s">
        <v>0</v>
      </c>
      <c r="AK61" s="1">
        <f t="shared" si="5"/>
        <v>1.5625E-2</v>
      </c>
      <c r="AL61" s="27">
        <v>451.87</v>
      </c>
      <c r="AN61" s="1">
        <v>3.125E-2</v>
      </c>
      <c r="AO61" s="27">
        <v>414.06</v>
      </c>
      <c r="AP61" s="1">
        <f t="shared" si="3"/>
        <v>0.625</v>
      </c>
      <c r="AQ61" s="27">
        <f t="shared" si="2"/>
        <v>414.06</v>
      </c>
    </row>
    <row r="62" spans="11:43" x14ac:dyDescent="0.2">
      <c r="K62" s="31"/>
      <c r="L62" s="31"/>
      <c r="M62" s="31"/>
      <c r="N62" s="31"/>
      <c r="O62" s="31"/>
      <c r="P62" s="31"/>
      <c r="AG62" s="4" t="s">
        <v>1</v>
      </c>
      <c r="AH62" s="4" t="s">
        <v>2</v>
      </c>
      <c r="AI62" s="4" t="s">
        <v>1</v>
      </c>
      <c r="AJ62" s="4" t="s">
        <v>1</v>
      </c>
      <c r="AK62" s="1">
        <f t="shared" si="5"/>
        <v>3.125E-2</v>
      </c>
      <c r="AL62" s="27">
        <v>602.37</v>
      </c>
      <c r="AN62" s="1">
        <v>7.8125E-3</v>
      </c>
      <c r="AO62" s="27">
        <v>414.06</v>
      </c>
      <c r="AP62" s="1">
        <f t="shared" si="3"/>
        <v>0.6328125</v>
      </c>
      <c r="AQ62" s="27">
        <f t="shared" si="2"/>
        <v>414.06</v>
      </c>
    </row>
    <row r="63" spans="11:43" x14ac:dyDescent="0.2">
      <c r="AG63" s="4" t="s">
        <v>1</v>
      </c>
      <c r="AH63" s="4" t="s">
        <v>2</v>
      </c>
      <c r="AI63" s="4" t="s">
        <v>1</v>
      </c>
      <c r="AJ63" s="4" t="s">
        <v>2</v>
      </c>
      <c r="AK63" s="1">
        <f t="shared" si="5"/>
        <v>1.5625E-2</v>
      </c>
      <c r="AL63" s="27">
        <v>828.11</v>
      </c>
      <c r="AN63" s="1">
        <v>7.8125E-3</v>
      </c>
      <c r="AO63" s="27">
        <v>423.66</v>
      </c>
      <c r="AP63" s="1">
        <f t="shared" si="3"/>
        <v>0.640625</v>
      </c>
      <c r="AQ63" s="27">
        <f t="shared" si="2"/>
        <v>423.66</v>
      </c>
    </row>
    <row r="64" spans="11:43" x14ac:dyDescent="0.2">
      <c r="K64" s="1" t="s">
        <v>27</v>
      </c>
      <c r="L64" s="32">
        <f>C10</f>
        <v>404.51003906250008</v>
      </c>
      <c r="M64" s="1">
        <v>0</v>
      </c>
      <c r="AG64" s="4" t="s">
        <v>1</v>
      </c>
      <c r="AH64" s="4" t="s">
        <v>2</v>
      </c>
      <c r="AI64" s="4" t="s">
        <v>2</v>
      </c>
      <c r="AJ64" s="4" t="s">
        <v>0</v>
      </c>
      <c r="AK64" s="1">
        <f t="shared" si="5"/>
        <v>7.8125E-3</v>
      </c>
      <c r="AL64" s="27">
        <v>636.63</v>
      </c>
      <c r="AN64" s="1">
        <v>3.125E-2</v>
      </c>
      <c r="AO64" s="27">
        <v>423.66</v>
      </c>
      <c r="AP64" s="1">
        <f t="shared" si="3"/>
        <v>0.671875</v>
      </c>
      <c r="AQ64" s="27">
        <f t="shared" si="2"/>
        <v>423.66</v>
      </c>
    </row>
    <row r="65" spans="11:43" x14ac:dyDescent="0.2">
      <c r="L65" s="32">
        <f>L64</f>
        <v>404.51003906250008</v>
      </c>
      <c r="M65" s="1">
        <v>1</v>
      </c>
      <c r="AG65" s="4" t="s">
        <v>1</v>
      </c>
      <c r="AH65" s="4" t="s">
        <v>2</v>
      </c>
      <c r="AI65" s="4" t="s">
        <v>2</v>
      </c>
      <c r="AJ65" s="4" t="s">
        <v>1</v>
      </c>
      <c r="AK65" s="1">
        <f t="shared" si="5"/>
        <v>1.5625E-2</v>
      </c>
      <c r="AL65" s="27">
        <v>847.32</v>
      </c>
      <c r="AN65" s="1">
        <v>7.8125E-3</v>
      </c>
      <c r="AO65" s="27">
        <v>423.66</v>
      </c>
      <c r="AP65" s="1">
        <f t="shared" si="3"/>
        <v>0.6796875</v>
      </c>
      <c r="AQ65" s="27">
        <f t="shared" si="2"/>
        <v>423.66</v>
      </c>
    </row>
    <row r="66" spans="11:43" x14ac:dyDescent="0.2">
      <c r="L66" s="32"/>
      <c r="AG66" s="4" t="s">
        <v>1</v>
      </c>
      <c r="AH66" s="4" t="s">
        <v>2</v>
      </c>
      <c r="AI66" s="4" t="s">
        <v>2</v>
      </c>
      <c r="AJ66" s="4" t="s">
        <v>2</v>
      </c>
      <c r="AK66" s="1">
        <f t="shared" si="5"/>
        <v>7.8125E-3</v>
      </c>
      <c r="AL66" s="27">
        <v>1163.3499999999999</v>
      </c>
      <c r="AN66" s="1">
        <v>1.5625E-2</v>
      </c>
      <c r="AO66" s="27">
        <v>427.49</v>
      </c>
      <c r="AP66" s="1">
        <f t="shared" si="3"/>
        <v>0.6953125</v>
      </c>
      <c r="AQ66" s="27">
        <f t="shared" si="2"/>
        <v>427.49</v>
      </c>
    </row>
    <row r="67" spans="11:43" x14ac:dyDescent="0.2">
      <c r="K67" s="29">
        <v>0.1</v>
      </c>
      <c r="L67" s="32">
        <f>N57</f>
        <v>106.87</v>
      </c>
      <c r="M67" s="1">
        <v>0</v>
      </c>
      <c r="AG67" s="4" t="s">
        <v>2</v>
      </c>
      <c r="AH67" s="4" t="s">
        <v>0</v>
      </c>
      <c r="AI67" s="4" t="s">
        <v>0</v>
      </c>
      <c r="AJ67" s="4" t="s">
        <v>0</v>
      </c>
      <c r="AK67" s="1">
        <f t="shared" si="5"/>
        <v>3.90625E-3</v>
      </c>
      <c r="AL67" s="27">
        <v>160.16999999999999</v>
      </c>
      <c r="AN67" s="1">
        <v>1.5625E-2</v>
      </c>
      <c r="AO67" s="27">
        <v>427.49</v>
      </c>
      <c r="AP67" s="1">
        <f t="shared" si="3"/>
        <v>0.7109375</v>
      </c>
      <c r="AQ67" s="27">
        <f t="shared" si="2"/>
        <v>427.49</v>
      </c>
    </row>
    <row r="68" spans="11:43" x14ac:dyDescent="0.2">
      <c r="L68" s="32">
        <f>L67</f>
        <v>106.87</v>
      </c>
      <c r="M68" s="1">
        <v>1</v>
      </c>
      <c r="AG68" s="4" t="s">
        <v>2</v>
      </c>
      <c r="AH68" s="4" t="s">
        <v>0</v>
      </c>
      <c r="AI68" s="4" t="s">
        <v>0</v>
      </c>
      <c r="AJ68" s="4" t="s">
        <v>1</v>
      </c>
      <c r="AK68" s="1">
        <f t="shared" si="5"/>
        <v>7.8125E-3</v>
      </c>
      <c r="AL68" s="27">
        <v>213.75</v>
      </c>
      <c r="AN68" s="1">
        <v>1.5625E-2</v>
      </c>
      <c r="AO68" s="27">
        <v>451.87</v>
      </c>
      <c r="AP68" s="1">
        <f t="shared" si="3"/>
        <v>0.7265625</v>
      </c>
      <c r="AQ68" s="27">
        <f t="shared" si="2"/>
        <v>451.87</v>
      </c>
    </row>
    <row r="69" spans="11:43" x14ac:dyDescent="0.2">
      <c r="L69" s="32"/>
      <c r="AG69" s="4" t="s">
        <v>2</v>
      </c>
      <c r="AH69" s="4" t="s">
        <v>0</v>
      </c>
      <c r="AI69" s="4" t="s">
        <v>0</v>
      </c>
      <c r="AJ69" s="4" t="s">
        <v>2</v>
      </c>
      <c r="AK69" s="1">
        <f t="shared" si="5"/>
        <v>3.90625E-3</v>
      </c>
      <c r="AL69" s="27">
        <v>294.12</v>
      </c>
      <c r="AN69" s="1">
        <v>1.5625E-2</v>
      </c>
      <c r="AO69" s="27">
        <v>451.87</v>
      </c>
      <c r="AP69" s="1">
        <f t="shared" si="3"/>
        <v>0.7421875</v>
      </c>
      <c r="AQ69" s="27">
        <f t="shared" si="2"/>
        <v>451.87</v>
      </c>
    </row>
    <row r="70" spans="11:43" x14ac:dyDescent="0.2">
      <c r="K70" s="29">
        <v>0.5</v>
      </c>
      <c r="L70" s="32">
        <f>O57</f>
        <v>301.18</v>
      </c>
      <c r="M70" s="1">
        <v>0</v>
      </c>
      <c r="AG70" s="4" t="s">
        <v>2</v>
      </c>
      <c r="AH70" s="4" t="s">
        <v>0</v>
      </c>
      <c r="AI70" s="4" t="s">
        <v>1</v>
      </c>
      <c r="AJ70" s="4" t="s">
        <v>0</v>
      </c>
      <c r="AK70" s="1">
        <f t="shared" si="5"/>
        <v>7.8125E-3</v>
      </c>
      <c r="AL70" s="27">
        <v>225.93</v>
      </c>
      <c r="AN70" s="1">
        <v>3.90625E-3</v>
      </c>
      <c r="AO70" s="27">
        <v>581.67999999999995</v>
      </c>
      <c r="AP70" s="1">
        <f t="shared" si="3"/>
        <v>0.74609375</v>
      </c>
      <c r="AQ70" s="27">
        <f t="shared" si="2"/>
        <v>581.67999999999995</v>
      </c>
    </row>
    <row r="71" spans="11:43" x14ac:dyDescent="0.2">
      <c r="L71" s="32">
        <f>L70</f>
        <v>301.18</v>
      </c>
      <c r="M71" s="1">
        <v>1</v>
      </c>
      <c r="AG71" s="4" t="s">
        <v>2</v>
      </c>
      <c r="AH71" s="4" t="s">
        <v>0</v>
      </c>
      <c r="AI71" s="4" t="s">
        <v>1</v>
      </c>
      <c r="AJ71" s="4" t="s">
        <v>1</v>
      </c>
      <c r="AK71" s="1">
        <f t="shared" si="5"/>
        <v>1.5625E-2</v>
      </c>
      <c r="AL71" s="27">
        <v>301.18</v>
      </c>
      <c r="AN71" s="1">
        <v>1.5625E-2</v>
      </c>
      <c r="AO71" s="27">
        <v>581.67999999999995</v>
      </c>
      <c r="AP71" s="1">
        <f t="shared" si="3"/>
        <v>0.76171875</v>
      </c>
      <c r="AQ71" s="27">
        <f t="shared" si="2"/>
        <v>581.67999999999995</v>
      </c>
    </row>
    <row r="72" spans="11:43" x14ac:dyDescent="0.2">
      <c r="L72" s="32"/>
      <c r="AG72" s="4" t="s">
        <v>2</v>
      </c>
      <c r="AH72" s="4" t="s">
        <v>0</v>
      </c>
      <c r="AI72" s="4" t="s">
        <v>1</v>
      </c>
      <c r="AJ72" s="4" t="s">
        <v>2</v>
      </c>
      <c r="AK72" s="1">
        <f t="shared" si="5"/>
        <v>7.8125E-3</v>
      </c>
      <c r="AL72" s="27">
        <v>414.06</v>
      </c>
      <c r="AN72" s="1">
        <v>3.90625E-3</v>
      </c>
      <c r="AO72" s="27">
        <v>581.67999999999995</v>
      </c>
      <c r="AP72" s="1">
        <f t="shared" si="3"/>
        <v>0.765625</v>
      </c>
      <c r="AQ72" s="27">
        <f t="shared" si="2"/>
        <v>581.67999999999995</v>
      </c>
    </row>
    <row r="73" spans="11:43" x14ac:dyDescent="0.2">
      <c r="K73" s="29">
        <v>0.9</v>
      </c>
      <c r="L73" s="32">
        <f>P57</f>
        <v>828.11</v>
      </c>
      <c r="M73" s="1">
        <v>0</v>
      </c>
      <c r="AG73" s="4" t="s">
        <v>2</v>
      </c>
      <c r="AH73" s="4" t="s">
        <v>0</v>
      </c>
      <c r="AI73" s="4" t="s">
        <v>2</v>
      </c>
      <c r="AJ73" s="4" t="s">
        <v>0</v>
      </c>
      <c r="AK73" s="1">
        <f t="shared" si="5"/>
        <v>3.90625E-3</v>
      </c>
      <c r="AL73" s="27">
        <v>318.32</v>
      </c>
      <c r="AN73" s="1">
        <v>7.8125E-3</v>
      </c>
      <c r="AO73" s="27">
        <v>588.23</v>
      </c>
      <c r="AP73" s="1">
        <f t="shared" si="3"/>
        <v>0.7734375</v>
      </c>
      <c r="AQ73" s="27">
        <f t="shared" si="2"/>
        <v>588.23</v>
      </c>
    </row>
    <row r="74" spans="11:43" x14ac:dyDescent="0.2">
      <c r="L74" s="32">
        <f>L73</f>
        <v>828.11</v>
      </c>
      <c r="M74" s="1">
        <v>1</v>
      </c>
      <c r="AG74" s="4" t="s">
        <v>2</v>
      </c>
      <c r="AH74" s="4" t="s">
        <v>0</v>
      </c>
      <c r="AI74" s="4" t="s">
        <v>2</v>
      </c>
      <c r="AJ74" s="4" t="s">
        <v>1</v>
      </c>
      <c r="AK74" s="1">
        <f t="shared" si="5"/>
        <v>7.8125E-3</v>
      </c>
      <c r="AL74" s="27">
        <v>423.66</v>
      </c>
      <c r="AN74" s="1">
        <v>7.8125E-3</v>
      </c>
      <c r="AO74" s="27">
        <v>588.23</v>
      </c>
      <c r="AP74" s="1">
        <f t="shared" si="3"/>
        <v>0.78125</v>
      </c>
      <c r="AQ74" s="27">
        <f t="shared" si="2"/>
        <v>588.23</v>
      </c>
    </row>
    <row r="75" spans="11:43" x14ac:dyDescent="0.2">
      <c r="AG75" s="4" t="s">
        <v>2</v>
      </c>
      <c r="AH75" s="4" t="s">
        <v>0</v>
      </c>
      <c r="AI75" s="4" t="s">
        <v>2</v>
      </c>
      <c r="AJ75" s="4" t="s">
        <v>2</v>
      </c>
      <c r="AK75" s="1">
        <f t="shared" si="5"/>
        <v>3.90625E-3</v>
      </c>
      <c r="AL75" s="27">
        <v>581.67999999999995</v>
      </c>
      <c r="AN75" s="1">
        <v>3.125E-2</v>
      </c>
      <c r="AO75" s="27">
        <v>602.37</v>
      </c>
      <c r="AP75" s="1">
        <f t="shared" si="3"/>
        <v>0.8125</v>
      </c>
      <c r="AQ75" s="27">
        <f t="shared" si="2"/>
        <v>602.37</v>
      </c>
    </row>
    <row r="76" spans="11:43" x14ac:dyDescent="0.2">
      <c r="AG76" s="4" t="s">
        <v>2</v>
      </c>
      <c r="AH76" s="4" t="s">
        <v>1</v>
      </c>
      <c r="AI76" s="4" t="s">
        <v>0</v>
      </c>
      <c r="AJ76" s="4" t="s">
        <v>0</v>
      </c>
      <c r="AK76" s="1">
        <f t="shared" si="5"/>
        <v>7.8125E-3</v>
      </c>
      <c r="AL76" s="27">
        <v>320.33999999999997</v>
      </c>
      <c r="AN76" s="1">
        <v>3.125E-2</v>
      </c>
      <c r="AO76" s="27">
        <v>602.37</v>
      </c>
      <c r="AP76" s="1">
        <f t="shared" si="3"/>
        <v>0.84375</v>
      </c>
      <c r="AQ76" s="27">
        <f t="shared" si="2"/>
        <v>602.37</v>
      </c>
    </row>
    <row r="77" spans="11:43" x14ac:dyDescent="0.2">
      <c r="K77" s="2" t="s">
        <v>31</v>
      </c>
      <c r="AG77" s="4" t="s">
        <v>2</v>
      </c>
      <c r="AH77" s="4" t="s">
        <v>1</v>
      </c>
      <c r="AI77" s="4" t="s">
        <v>0</v>
      </c>
      <c r="AJ77" s="4" t="s">
        <v>1</v>
      </c>
      <c r="AK77" s="1">
        <f t="shared" ref="AK77:AK93" si="7">p(AG77)*p(AH77)*p(AI77)*p(AJ77)</f>
        <v>1.5625E-2</v>
      </c>
      <c r="AL77" s="27">
        <v>427.49</v>
      </c>
      <c r="AN77" s="1">
        <v>7.8125E-3</v>
      </c>
      <c r="AO77" s="27">
        <v>636.63</v>
      </c>
      <c r="AP77" s="1">
        <f t="shared" si="3"/>
        <v>0.8515625</v>
      </c>
      <c r="AQ77" s="27">
        <f t="shared" si="2"/>
        <v>636.63</v>
      </c>
    </row>
    <row r="78" spans="11:43" x14ac:dyDescent="0.2">
      <c r="L78" s="1" t="s">
        <v>22</v>
      </c>
      <c r="M78" s="1" t="s">
        <v>32</v>
      </c>
      <c r="N78" s="1" t="s">
        <v>33</v>
      </c>
      <c r="AG78" s="4" t="s">
        <v>2</v>
      </c>
      <c r="AH78" s="4" t="s">
        <v>1</v>
      </c>
      <c r="AI78" s="4" t="s">
        <v>0</v>
      </c>
      <c r="AJ78" s="4" t="s">
        <v>2</v>
      </c>
      <c r="AK78" s="1">
        <f t="shared" si="7"/>
        <v>7.8125E-3</v>
      </c>
      <c r="AL78" s="27">
        <v>588.23</v>
      </c>
      <c r="AN78" s="1">
        <v>7.8125E-3</v>
      </c>
      <c r="AO78" s="27">
        <v>636.63</v>
      </c>
      <c r="AP78" s="1">
        <f t="shared" si="3"/>
        <v>0.859375</v>
      </c>
      <c r="AQ78" s="27">
        <f t="shared" ref="AQ78:AQ93" si="8">AO78</f>
        <v>636.63</v>
      </c>
    </row>
    <row r="79" spans="11:43" x14ac:dyDescent="0.2">
      <c r="L79" s="33">
        <v>300</v>
      </c>
      <c r="M79" s="34">
        <f>VLOOKUP(L79,AO13:AP93,2,TRUE)</f>
        <v>0.453125</v>
      </c>
      <c r="N79" s="35">
        <f>1-M79</f>
        <v>0.546875</v>
      </c>
      <c r="AG79" s="4" t="s">
        <v>2</v>
      </c>
      <c r="AH79" s="4" t="s">
        <v>1</v>
      </c>
      <c r="AI79" s="4" t="s">
        <v>1</v>
      </c>
      <c r="AJ79" s="4" t="s">
        <v>0</v>
      </c>
      <c r="AK79" s="1">
        <f t="shared" si="7"/>
        <v>1.5625E-2</v>
      </c>
      <c r="AL79" s="27">
        <v>451.87</v>
      </c>
      <c r="AN79" s="1">
        <v>3.90625E-3</v>
      </c>
      <c r="AO79" s="27">
        <v>640.66999999999996</v>
      </c>
      <c r="AP79" s="1">
        <f t="shared" ref="AP79:AP93" si="9">AN79+AP78</f>
        <v>0.86328125</v>
      </c>
      <c r="AQ79" s="27">
        <f t="shared" si="8"/>
        <v>640.66999999999996</v>
      </c>
    </row>
    <row r="80" spans="11:43" x14ac:dyDescent="0.2">
      <c r="AG80" s="4" t="s">
        <v>2</v>
      </c>
      <c r="AH80" s="4" t="s">
        <v>1</v>
      </c>
      <c r="AI80" s="4" t="s">
        <v>1</v>
      </c>
      <c r="AJ80" s="4" t="s">
        <v>1</v>
      </c>
      <c r="AK80" s="1">
        <f t="shared" si="7"/>
        <v>3.125E-2</v>
      </c>
      <c r="AL80" s="27">
        <v>602.37</v>
      </c>
      <c r="AN80" s="1">
        <v>1.5625E-2</v>
      </c>
      <c r="AO80" s="27">
        <v>828.11</v>
      </c>
      <c r="AP80" s="1">
        <f t="shared" si="9"/>
        <v>0.87890625</v>
      </c>
      <c r="AQ80" s="27">
        <f t="shared" si="8"/>
        <v>828.11</v>
      </c>
    </row>
    <row r="81" spans="33:43" x14ac:dyDescent="0.2">
      <c r="AG81" s="4" t="s">
        <v>2</v>
      </c>
      <c r="AH81" s="4" t="s">
        <v>1</v>
      </c>
      <c r="AI81" s="4" t="s">
        <v>1</v>
      </c>
      <c r="AJ81" s="4" t="s">
        <v>2</v>
      </c>
      <c r="AK81" s="1">
        <f t="shared" si="7"/>
        <v>1.5625E-2</v>
      </c>
      <c r="AL81" s="27">
        <v>828.11</v>
      </c>
      <c r="AN81" s="1">
        <v>1.5625E-2</v>
      </c>
      <c r="AO81" s="27">
        <v>828.11</v>
      </c>
      <c r="AP81" s="1">
        <f t="shared" si="9"/>
        <v>0.89453125</v>
      </c>
      <c r="AQ81" s="27">
        <f t="shared" si="8"/>
        <v>828.11</v>
      </c>
    </row>
    <row r="82" spans="33:43" x14ac:dyDescent="0.2">
      <c r="AG82" s="4" t="s">
        <v>2</v>
      </c>
      <c r="AH82" s="4" t="s">
        <v>1</v>
      </c>
      <c r="AI82" s="4" t="s">
        <v>2</v>
      </c>
      <c r="AJ82" s="4" t="s">
        <v>0</v>
      </c>
      <c r="AK82" s="1">
        <f t="shared" si="7"/>
        <v>7.8125E-3</v>
      </c>
      <c r="AL82" s="27">
        <v>636.63</v>
      </c>
      <c r="AN82" s="1">
        <v>1.5625E-2</v>
      </c>
      <c r="AO82" s="27">
        <v>847.32</v>
      </c>
      <c r="AP82" s="1">
        <f t="shared" si="9"/>
        <v>0.91015625</v>
      </c>
      <c r="AQ82" s="27">
        <f t="shared" si="8"/>
        <v>847.32</v>
      </c>
    </row>
    <row r="83" spans="33:43" x14ac:dyDescent="0.2">
      <c r="AG83" s="4" t="s">
        <v>2</v>
      </c>
      <c r="AH83" s="4" t="s">
        <v>1</v>
      </c>
      <c r="AI83" s="4" t="s">
        <v>2</v>
      </c>
      <c r="AJ83" s="4" t="s">
        <v>1</v>
      </c>
      <c r="AK83" s="1">
        <f t="shared" si="7"/>
        <v>1.5625E-2</v>
      </c>
      <c r="AL83" s="27">
        <v>847.32</v>
      </c>
      <c r="AN83" s="1">
        <v>1.5625E-2</v>
      </c>
      <c r="AO83" s="27">
        <v>847.32</v>
      </c>
      <c r="AP83" s="1">
        <f t="shared" si="9"/>
        <v>0.92578125</v>
      </c>
      <c r="AQ83" s="27">
        <f t="shared" si="8"/>
        <v>847.32</v>
      </c>
    </row>
    <row r="84" spans="33:43" x14ac:dyDescent="0.2">
      <c r="AG84" s="4" t="s">
        <v>2</v>
      </c>
      <c r="AH84" s="4" t="s">
        <v>1</v>
      </c>
      <c r="AI84" s="4" t="s">
        <v>2</v>
      </c>
      <c r="AJ84" s="4" t="s">
        <v>2</v>
      </c>
      <c r="AK84" s="1">
        <f t="shared" si="7"/>
        <v>7.8125E-3</v>
      </c>
      <c r="AL84" s="27">
        <v>1163.3499999999999</v>
      </c>
      <c r="AN84" s="1">
        <v>7.8125E-3</v>
      </c>
      <c r="AO84" s="27">
        <v>854.99</v>
      </c>
      <c r="AP84" s="1">
        <f t="shared" si="9"/>
        <v>0.93359375</v>
      </c>
      <c r="AQ84" s="27">
        <f t="shared" si="8"/>
        <v>854.99</v>
      </c>
    </row>
    <row r="85" spans="33:43" x14ac:dyDescent="0.2">
      <c r="AG85" s="4" t="s">
        <v>2</v>
      </c>
      <c r="AH85" s="4" t="s">
        <v>2</v>
      </c>
      <c r="AI85" s="4" t="s">
        <v>0</v>
      </c>
      <c r="AJ85" s="4" t="s">
        <v>0</v>
      </c>
      <c r="AK85" s="1">
        <f t="shared" si="7"/>
        <v>3.90625E-3</v>
      </c>
      <c r="AL85" s="27">
        <v>640.66999999999996</v>
      </c>
      <c r="AN85" s="1">
        <v>7.8125E-3</v>
      </c>
      <c r="AO85" s="27">
        <v>903.73</v>
      </c>
      <c r="AP85" s="1">
        <f t="shared" si="9"/>
        <v>0.94140625</v>
      </c>
      <c r="AQ85" s="27">
        <f t="shared" si="8"/>
        <v>903.73</v>
      </c>
    </row>
    <row r="86" spans="33:43" x14ac:dyDescent="0.2">
      <c r="AG86" s="4" t="s">
        <v>2</v>
      </c>
      <c r="AH86" s="4" t="s">
        <v>2</v>
      </c>
      <c r="AI86" s="4" t="s">
        <v>0</v>
      </c>
      <c r="AJ86" s="4" t="s">
        <v>1</v>
      </c>
      <c r="AK86" s="1">
        <f t="shared" si="7"/>
        <v>7.8125E-3</v>
      </c>
      <c r="AL86" s="27">
        <v>854.99</v>
      </c>
      <c r="AN86" s="1">
        <v>7.8125E-3</v>
      </c>
      <c r="AO86" s="27">
        <v>1163.3499999999999</v>
      </c>
      <c r="AP86" s="1">
        <f t="shared" si="9"/>
        <v>0.94921875</v>
      </c>
      <c r="AQ86" s="27">
        <f t="shared" si="8"/>
        <v>1163.3499999999999</v>
      </c>
    </row>
    <row r="87" spans="33:43" x14ac:dyDescent="0.2">
      <c r="AG87" s="4" t="s">
        <v>2</v>
      </c>
      <c r="AH87" s="4" t="s">
        <v>2</v>
      </c>
      <c r="AI87" s="4" t="s">
        <v>0</v>
      </c>
      <c r="AJ87" s="4" t="s">
        <v>2</v>
      </c>
      <c r="AK87" s="1">
        <f t="shared" si="7"/>
        <v>3.90625E-3</v>
      </c>
      <c r="AL87" s="27">
        <v>1176.46</v>
      </c>
      <c r="AN87" s="1">
        <v>7.8125E-3</v>
      </c>
      <c r="AO87" s="27">
        <v>1163.3499999999999</v>
      </c>
      <c r="AP87" s="1">
        <f t="shared" si="9"/>
        <v>0.95703125</v>
      </c>
      <c r="AQ87" s="27">
        <f t="shared" si="8"/>
        <v>1163.3499999999999</v>
      </c>
    </row>
    <row r="88" spans="33:43" x14ac:dyDescent="0.2">
      <c r="AG88" s="4" t="s">
        <v>2</v>
      </c>
      <c r="AH88" s="4" t="s">
        <v>2</v>
      </c>
      <c r="AI88" s="4" t="s">
        <v>1</v>
      </c>
      <c r="AJ88" s="4" t="s">
        <v>0</v>
      </c>
      <c r="AK88" s="1">
        <f t="shared" si="7"/>
        <v>7.8125E-3</v>
      </c>
      <c r="AL88" s="27">
        <v>903.73</v>
      </c>
      <c r="AN88" s="1">
        <v>3.90625E-3</v>
      </c>
      <c r="AO88" s="27">
        <v>1176.46</v>
      </c>
      <c r="AP88" s="1">
        <f t="shared" si="9"/>
        <v>0.9609375</v>
      </c>
      <c r="AQ88" s="27">
        <f t="shared" si="8"/>
        <v>1176.46</v>
      </c>
    </row>
    <row r="89" spans="33:43" x14ac:dyDescent="0.2">
      <c r="AG89" s="4" t="s">
        <v>2</v>
      </c>
      <c r="AH89" s="4" t="s">
        <v>2</v>
      </c>
      <c r="AI89" s="4" t="s">
        <v>1</v>
      </c>
      <c r="AJ89" s="4" t="s">
        <v>1</v>
      </c>
      <c r="AK89" s="1">
        <f t="shared" si="7"/>
        <v>1.5625E-2</v>
      </c>
      <c r="AL89" s="27">
        <v>1204.73</v>
      </c>
      <c r="AN89" s="1">
        <v>1.5625E-2</v>
      </c>
      <c r="AO89" s="27">
        <v>1204.73</v>
      </c>
      <c r="AP89" s="1">
        <f t="shared" si="9"/>
        <v>0.9765625</v>
      </c>
      <c r="AQ89" s="27">
        <f t="shared" si="8"/>
        <v>1204.73</v>
      </c>
    </row>
    <row r="90" spans="33:43" x14ac:dyDescent="0.2">
      <c r="AG90" s="4" t="s">
        <v>2</v>
      </c>
      <c r="AH90" s="4" t="s">
        <v>2</v>
      </c>
      <c r="AI90" s="4" t="s">
        <v>1</v>
      </c>
      <c r="AJ90" s="4" t="s">
        <v>2</v>
      </c>
      <c r="AK90" s="1">
        <f t="shared" si="7"/>
        <v>7.8125E-3</v>
      </c>
      <c r="AL90" s="27">
        <v>1656.23</v>
      </c>
      <c r="AN90" s="1">
        <v>3.90625E-3</v>
      </c>
      <c r="AO90" s="27">
        <v>1273.26</v>
      </c>
      <c r="AP90" s="1">
        <f t="shared" si="9"/>
        <v>0.98046875</v>
      </c>
      <c r="AQ90" s="27">
        <f t="shared" si="8"/>
        <v>1273.26</v>
      </c>
    </row>
    <row r="91" spans="33:43" x14ac:dyDescent="0.2">
      <c r="AG91" s="4" t="s">
        <v>2</v>
      </c>
      <c r="AH91" s="4" t="s">
        <v>2</v>
      </c>
      <c r="AI91" s="4" t="s">
        <v>2</v>
      </c>
      <c r="AJ91" s="4" t="s">
        <v>0</v>
      </c>
      <c r="AK91" s="1">
        <f t="shared" si="7"/>
        <v>3.90625E-3</v>
      </c>
      <c r="AL91" s="27">
        <v>1273.26</v>
      </c>
      <c r="AN91" s="1">
        <v>7.8125E-3</v>
      </c>
      <c r="AO91" s="27">
        <v>1656.23</v>
      </c>
      <c r="AP91" s="1">
        <f t="shared" si="9"/>
        <v>0.98828125</v>
      </c>
      <c r="AQ91" s="27">
        <f t="shared" si="8"/>
        <v>1656.23</v>
      </c>
    </row>
    <row r="92" spans="33:43" x14ac:dyDescent="0.2">
      <c r="AG92" s="4" t="s">
        <v>2</v>
      </c>
      <c r="AH92" s="4" t="s">
        <v>2</v>
      </c>
      <c r="AI92" s="4" t="s">
        <v>2</v>
      </c>
      <c r="AJ92" s="4" t="s">
        <v>1</v>
      </c>
      <c r="AK92" s="1">
        <f t="shared" si="7"/>
        <v>7.8125E-3</v>
      </c>
      <c r="AL92" s="27">
        <v>1694.64</v>
      </c>
      <c r="AN92" s="1">
        <v>7.8125E-3</v>
      </c>
      <c r="AO92" s="27">
        <v>1694.64</v>
      </c>
      <c r="AP92" s="1">
        <f t="shared" si="9"/>
        <v>0.99609375</v>
      </c>
      <c r="AQ92" s="27">
        <f t="shared" si="8"/>
        <v>1694.64</v>
      </c>
    </row>
    <row r="93" spans="33:43" x14ac:dyDescent="0.2">
      <c r="AG93" s="4" t="s">
        <v>2</v>
      </c>
      <c r="AH93" s="4" t="s">
        <v>2</v>
      </c>
      <c r="AI93" s="4" t="s">
        <v>2</v>
      </c>
      <c r="AJ93" s="4" t="s">
        <v>2</v>
      </c>
      <c r="AK93" s="1">
        <f t="shared" si="7"/>
        <v>3.90625E-3</v>
      </c>
      <c r="AL93" s="27">
        <v>2326.71</v>
      </c>
      <c r="AN93" s="1">
        <v>3.90625E-3</v>
      </c>
      <c r="AO93" s="27">
        <v>2326.71</v>
      </c>
      <c r="AP93" s="1">
        <f t="shared" si="9"/>
        <v>1</v>
      </c>
      <c r="AQ93" s="27">
        <f t="shared" si="8"/>
        <v>2326.71</v>
      </c>
    </row>
  </sheetData>
  <sortState xmlns:xlrd2="http://schemas.microsoft.com/office/spreadsheetml/2017/richdata2" ref="AN13:AO93">
    <sortCondition ref="AO13:AO9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MakeTornadoBtnClick">
                <anchor moveWithCells="1" sizeWithCells="1">
                  <from>
                    <xdr:col>2</xdr:col>
                    <xdr:colOff>88900</xdr:colOff>
                    <xdr:row>7</xdr:row>
                    <xdr:rowOff>25400</xdr:rowOff>
                  </from>
                  <to>
                    <xdr:col>3</xdr:col>
                    <xdr:colOff>774700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heet1.LoadInputs">
                <anchor moveWithCells="1" sizeWithCells="1">
                  <from>
                    <xdr:col>5</xdr:col>
                    <xdr:colOff>63500</xdr:colOff>
                    <xdr:row>4</xdr:row>
                    <xdr:rowOff>114300</xdr:rowOff>
                  </from>
                  <to>
                    <xdr:col>5</xdr:col>
                    <xdr:colOff>1447800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Sheet1.SaveInputs">
                <anchor moveWithCells="1" sizeWithCells="1">
                  <from>
                    <xdr:col>5</xdr:col>
                    <xdr:colOff>50800</xdr:colOff>
                    <xdr:row>7</xdr:row>
                    <xdr:rowOff>63500</xdr:rowOff>
                  </from>
                  <to>
                    <xdr:col>5</xdr:col>
                    <xdr:colOff>1447800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0BDF08-BDF6-3449-AD85-3B3ECCAB6E12}">
          <x14:formula1>
            <xm:f>PricingStrategies!$B$4:$B$9</xm:f>
          </x14:formula1>
          <xm:sqref>F4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47FDE-0600-1F48-A297-35965639E0DA}">
  <sheetPr codeName="Sheet3"/>
  <dimension ref="B2:W14"/>
  <sheetViews>
    <sheetView topLeftCell="B1" workbookViewId="0">
      <selection activeCell="D5" sqref="D5"/>
    </sheetView>
  </sheetViews>
  <sheetFormatPr baseColWidth="10" defaultRowHeight="15" x14ac:dyDescent="0.2"/>
  <cols>
    <col min="1" max="1" width="10.83203125" style="1"/>
    <col min="2" max="2" width="33.6640625" style="1" bestFit="1" customWidth="1"/>
    <col min="3" max="3" width="10.83203125" style="1"/>
    <col min="4" max="4" width="21.83203125" style="1" bestFit="1" customWidth="1"/>
    <col min="5" max="11" width="10.83203125" style="1"/>
    <col min="12" max="12" width="18.6640625" style="4" customWidth="1"/>
    <col min="13" max="16384" width="10.83203125" style="1"/>
  </cols>
  <sheetData>
    <row r="2" spans="2:23" ht="16" thickBot="1" x14ac:dyDescent="0.25"/>
    <row r="3" spans="2:23" x14ac:dyDescent="0.2">
      <c r="B3" s="64" t="s">
        <v>70</v>
      </c>
      <c r="D3" s="83"/>
      <c r="E3" s="70"/>
      <c r="F3" s="80" t="s">
        <v>68</v>
      </c>
      <c r="G3" s="81"/>
      <c r="H3" s="82"/>
      <c r="I3" s="68" t="s">
        <v>69</v>
      </c>
      <c r="J3" s="69"/>
      <c r="K3" s="70"/>
      <c r="L3" s="68" t="s">
        <v>80</v>
      </c>
      <c r="M3" s="69"/>
      <c r="N3" s="70"/>
      <c r="O3" s="68" t="s">
        <v>75</v>
      </c>
      <c r="P3" s="69"/>
      <c r="Q3" s="70"/>
      <c r="R3" s="68" t="s">
        <v>76</v>
      </c>
      <c r="S3" s="69"/>
      <c r="T3" s="70"/>
      <c r="U3" s="68" t="s">
        <v>77</v>
      </c>
      <c r="V3" s="69"/>
      <c r="W3" s="70"/>
    </row>
    <row r="4" spans="2:23" ht="16" thickBot="1" x14ac:dyDescent="0.25">
      <c r="B4" s="65" t="str">
        <f>F3</f>
        <v>VALUE PRICING</v>
      </c>
      <c r="D4" s="88" t="s">
        <v>78</v>
      </c>
      <c r="E4" s="89" t="s">
        <v>79</v>
      </c>
      <c r="F4" s="88" t="s">
        <v>72</v>
      </c>
      <c r="G4" s="90" t="s">
        <v>73</v>
      </c>
      <c r="H4" s="89" t="s">
        <v>74</v>
      </c>
      <c r="I4" s="88" t="s">
        <v>72</v>
      </c>
      <c r="J4" s="90" t="s">
        <v>73</v>
      </c>
      <c r="K4" s="89" t="s">
        <v>74</v>
      </c>
      <c r="L4" s="88" t="s">
        <v>72</v>
      </c>
      <c r="M4" s="90" t="s">
        <v>73</v>
      </c>
      <c r="N4" s="89" t="s">
        <v>74</v>
      </c>
      <c r="O4" s="88" t="s">
        <v>72</v>
      </c>
      <c r="P4" s="90" t="s">
        <v>73</v>
      </c>
      <c r="Q4" s="89" t="s">
        <v>74</v>
      </c>
      <c r="R4" s="88" t="s">
        <v>72</v>
      </c>
      <c r="S4" s="90" t="s">
        <v>73</v>
      </c>
      <c r="T4" s="89" t="s">
        <v>74</v>
      </c>
      <c r="U4" s="88" t="s">
        <v>72</v>
      </c>
      <c r="V4" s="90" t="s">
        <v>73</v>
      </c>
      <c r="W4" s="89" t="s">
        <v>74</v>
      </c>
    </row>
    <row r="5" spans="2:23" x14ac:dyDescent="0.2">
      <c r="B5" s="65" t="str">
        <f>I3</f>
        <v>COMMODITY PRICING</v>
      </c>
      <c r="D5" s="84" t="s">
        <v>42</v>
      </c>
      <c r="E5" s="85" t="s">
        <v>43</v>
      </c>
      <c r="F5" s="71">
        <v>125</v>
      </c>
      <c r="G5" s="72">
        <v>250</v>
      </c>
      <c r="H5" s="73">
        <v>500</v>
      </c>
      <c r="I5" s="71">
        <v>250</v>
      </c>
      <c r="J5" s="72">
        <v>500</v>
      </c>
      <c r="K5" s="73">
        <v>1000</v>
      </c>
      <c r="L5" s="71">
        <v>250</v>
      </c>
      <c r="M5" s="72">
        <v>500</v>
      </c>
      <c r="N5" s="73">
        <v>1000</v>
      </c>
      <c r="O5" s="71">
        <v>250</v>
      </c>
      <c r="P5" s="72">
        <v>500</v>
      </c>
      <c r="Q5" s="73">
        <v>1000</v>
      </c>
      <c r="R5" s="71">
        <v>250</v>
      </c>
      <c r="S5" s="72">
        <v>500</v>
      </c>
      <c r="T5" s="73">
        <v>1000</v>
      </c>
      <c r="U5" s="71">
        <v>250</v>
      </c>
      <c r="V5" s="72">
        <v>500</v>
      </c>
      <c r="W5" s="73">
        <v>1000</v>
      </c>
    </row>
    <row r="6" spans="2:23" x14ac:dyDescent="0.2">
      <c r="B6" s="65" t="str">
        <f>L3</f>
        <v>COMMODITY PRICING (COST CONTROLLED)</v>
      </c>
      <c r="D6" s="84" t="s">
        <v>44</v>
      </c>
      <c r="E6" s="85" t="s">
        <v>45</v>
      </c>
      <c r="F6" s="74">
        <v>0.02</v>
      </c>
      <c r="G6" s="75">
        <v>0.03</v>
      </c>
      <c r="H6" s="76">
        <v>0.04</v>
      </c>
      <c r="I6" s="74">
        <v>0.1</v>
      </c>
      <c r="J6" s="75">
        <v>0.25</v>
      </c>
      <c r="K6" s="76">
        <v>0.4</v>
      </c>
      <c r="L6" s="74">
        <v>0.1</v>
      </c>
      <c r="M6" s="75">
        <v>0.25</v>
      </c>
      <c r="N6" s="76">
        <v>0.4</v>
      </c>
      <c r="O6" s="74">
        <v>0.1</v>
      </c>
      <c r="P6" s="75">
        <v>0.25</v>
      </c>
      <c r="Q6" s="76">
        <v>0.4</v>
      </c>
      <c r="R6" s="74">
        <v>0.1</v>
      </c>
      <c r="S6" s="75">
        <v>0.25</v>
      </c>
      <c r="T6" s="76">
        <v>0.4</v>
      </c>
      <c r="U6" s="74">
        <v>0.1</v>
      </c>
      <c r="V6" s="75">
        <v>0.25</v>
      </c>
      <c r="W6" s="76">
        <v>0.4</v>
      </c>
    </row>
    <row r="7" spans="2:23" x14ac:dyDescent="0.2">
      <c r="B7" s="65" t="str">
        <f>O3</f>
        <v>STRATEGY 4</v>
      </c>
      <c r="D7" s="84" t="s">
        <v>46</v>
      </c>
      <c r="E7" s="85" t="s">
        <v>45</v>
      </c>
      <c r="F7" s="74">
        <v>0.05</v>
      </c>
      <c r="G7" s="75">
        <v>0.1</v>
      </c>
      <c r="H7" s="76">
        <v>0.2</v>
      </c>
      <c r="I7" s="74">
        <v>0.05</v>
      </c>
      <c r="J7" s="75">
        <v>0.1</v>
      </c>
      <c r="K7" s="76">
        <v>0.2</v>
      </c>
      <c r="L7" s="74">
        <v>0.05</v>
      </c>
      <c r="M7" s="75">
        <v>0.1</v>
      </c>
      <c r="N7" s="76">
        <v>0.2</v>
      </c>
      <c r="O7" s="74">
        <v>0.05</v>
      </c>
      <c r="P7" s="75">
        <v>0.1</v>
      </c>
      <c r="Q7" s="76">
        <v>0.2</v>
      </c>
      <c r="R7" s="74">
        <v>0.05</v>
      </c>
      <c r="S7" s="75">
        <v>0.1</v>
      </c>
      <c r="T7" s="76">
        <v>0.2</v>
      </c>
      <c r="U7" s="74">
        <v>0.05</v>
      </c>
      <c r="V7" s="75">
        <v>0.1</v>
      </c>
      <c r="W7" s="76">
        <v>0.2</v>
      </c>
    </row>
    <row r="8" spans="2:23" x14ac:dyDescent="0.2">
      <c r="B8" s="65" t="str">
        <f>R3</f>
        <v>STRATEGY 5</v>
      </c>
      <c r="D8" s="84" t="s">
        <v>47</v>
      </c>
      <c r="E8" s="85" t="s">
        <v>45</v>
      </c>
      <c r="F8" s="74">
        <v>0.4</v>
      </c>
      <c r="G8" s="75">
        <v>0.5</v>
      </c>
      <c r="H8" s="76">
        <v>0.6</v>
      </c>
      <c r="I8" s="74">
        <v>0.25</v>
      </c>
      <c r="J8" s="75">
        <v>0.3</v>
      </c>
      <c r="K8" s="76">
        <v>0.35</v>
      </c>
      <c r="L8" s="74">
        <v>0.25</v>
      </c>
      <c r="M8" s="75">
        <v>0.3</v>
      </c>
      <c r="N8" s="76">
        <v>0.35</v>
      </c>
      <c r="O8" s="74">
        <v>0.25</v>
      </c>
      <c r="P8" s="75">
        <v>0.3</v>
      </c>
      <c r="Q8" s="76">
        <v>0.35</v>
      </c>
      <c r="R8" s="74">
        <v>0.25</v>
      </c>
      <c r="S8" s="75">
        <v>0.3</v>
      </c>
      <c r="T8" s="76">
        <v>0.35</v>
      </c>
      <c r="U8" s="74">
        <v>0.25</v>
      </c>
      <c r="V8" s="75">
        <v>0.3</v>
      </c>
      <c r="W8" s="76">
        <v>0.35</v>
      </c>
    </row>
    <row r="9" spans="2:23" ht="16" thickBot="1" x14ac:dyDescent="0.25">
      <c r="B9" s="66" t="str">
        <f>U3</f>
        <v>STRATEGY 6</v>
      </c>
      <c r="D9" s="84" t="s">
        <v>48</v>
      </c>
      <c r="E9" s="85" t="s">
        <v>49</v>
      </c>
      <c r="F9" s="71">
        <v>2</v>
      </c>
      <c r="G9" s="72">
        <v>3</v>
      </c>
      <c r="H9" s="73">
        <v>4</v>
      </c>
      <c r="I9" s="71">
        <v>2</v>
      </c>
      <c r="J9" s="72">
        <v>3</v>
      </c>
      <c r="K9" s="73">
        <v>4</v>
      </c>
      <c r="L9" s="71">
        <v>2</v>
      </c>
      <c r="M9" s="72">
        <v>3</v>
      </c>
      <c r="N9" s="73">
        <v>4</v>
      </c>
      <c r="O9" s="71">
        <v>2</v>
      </c>
      <c r="P9" s="72">
        <v>3</v>
      </c>
      <c r="Q9" s="73">
        <v>4</v>
      </c>
      <c r="R9" s="71">
        <v>2</v>
      </c>
      <c r="S9" s="72">
        <v>3</v>
      </c>
      <c r="T9" s="73">
        <v>4</v>
      </c>
      <c r="U9" s="71">
        <v>2</v>
      </c>
      <c r="V9" s="72">
        <v>3</v>
      </c>
      <c r="W9" s="73">
        <v>4</v>
      </c>
    </row>
    <row r="10" spans="2:23" x14ac:dyDescent="0.2">
      <c r="D10" s="84" t="s">
        <v>50</v>
      </c>
      <c r="E10" s="85" t="s">
        <v>49</v>
      </c>
      <c r="F10" s="71">
        <v>7</v>
      </c>
      <c r="G10" s="72">
        <v>10</v>
      </c>
      <c r="H10" s="73">
        <v>15</v>
      </c>
      <c r="I10" s="71">
        <v>3</v>
      </c>
      <c r="J10" s="72">
        <v>5</v>
      </c>
      <c r="K10" s="73">
        <v>8</v>
      </c>
      <c r="L10" s="71">
        <v>3</v>
      </c>
      <c r="M10" s="72">
        <v>5</v>
      </c>
      <c r="N10" s="73">
        <v>8</v>
      </c>
      <c r="O10" s="71">
        <v>7</v>
      </c>
      <c r="P10" s="72">
        <v>10</v>
      </c>
      <c r="Q10" s="73">
        <v>15</v>
      </c>
      <c r="R10" s="71">
        <v>7</v>
      </c>
      <c r="S10" s="72">
        <v>10</v>
      </c>
      <c r="T10" s="73">
        <v>15</v>
      </c>
      <c r="U10" s="71">
        <v>7</v>
      </c>
      <c r="V10" s="72">
        <v>10</v>
      </c>
      <c r="W10" s="73">
        <v>15</v>
      </c>
    </row>
    <row r="11" spans="2:23" x14ac:dyDescent="0.2">
      <c r="D11" s="84" t="s">
        <v>51</v>
      </c>
      <c r="E11" s="85" t="s">
        <v>52</v>
      </c>
      <c r="F11" s="71">
        <v>7</v>
      </c>
      <c r="G11" s="72">
        <v>9</v>
      </c>
      <c r="H11" s="73">
        <v>12</v>
      </c>
      <c r="I11" s="71">
        <v>1.5</v>
      </c>
      <c r="J11" s="72">
        <v>2</v>
      </c>
      <c r="K11" s="73">
        <v>3</v>
      </c>
      <c r="L11" s="71">
        <v>1.5</v>
      </c>
      <c r="M11" s="72">
        <v>2</v>
      </c>
      <c r="N11" s="73">
        <v>3</v>
      </c>
      <c r="O11" s="71">
        <v>1.5</v>
      </c>
      <c r="P11" s="72">
        <v>2</v>
      </c>
      <c r="Q11" s="73">
        <v>3</v>
      </c>
      <c r="R11" s="71">
        <v>1.5</v>
      </c>
      <c r="S11" s="72">
        <v>2</v>
      </c>
      <c r="T11" s="73">
        <v>3</v>
      </c>
      <c r="U11" s="71">
        <v>1.5</v>
      </c>
      <c r="V11" s="72">
        <v>2</v>
      </c>
      <c r="W11" s="73">
        <v>3</v>
      </c>
    </row>
    <row r="12" spans="2:23" x14ac:dyDescent="0.2">
      <c r="D12" s="84" t="s">
        <v>53</v>
      </c>
      <c r="E12" s="85" t="s">
        <v>45</v>
      </c>
      <c r="F12" s="74">
        <v>0.01</v>
      </c>
      <c r="G12" s="75">
        <v>0.02</v>
      </c>
      <c r="H12" s="76">
        <v>0.03</v>
      </c>
      <c r="I12" s="74">
        <v>-0.01</v>
      </c>
      <c r="J12" s="75">
        <v>-0.05</v>
      </c>
      <c r="K12" s="76">
        <v>-0.1</v>
      </c>
      <c r="L12" s="74">
        <v>-0.01</v>
      </c>
      <c r="M12" s="75">
        <v>-0.05</v>
      </c>
      <c r="N12" s="76">
        <v>-0.1</v>
      </c>
      <c r="O12" s="74">
        <v>-0.01</v>
      </c>
      <c r="P12" s="75">
        <v>-0.05</v>
      </c>
      <c r="Q12" s="76">
        <v>-0.1</v>
      </c>
      <c r="R12" s="74">
        <v>-0.01</v>
      </c>
      <c r="S12" s="75">
        <v>-0.05</v>
      </c>
      <c r="T12" s="76">
        <v>-0.1</v>
      </c>
      <c r="U12" s="74">
        <v>-0.01</v>
      </c>
      <c r="V12" s="75">
        <v>-0.05</v>
      </c>
      <c r="W12" s="76">
        <v>-0.1</v>
      </c>
    </row>
    <row r="13" spans="2:23" x14ac:dyDescent="0.2">
      <c r="D13" s="84" t="s">
        <v>54</v>
      </c>
      <c r="E13" s="85" t="s">
        <v>52</v>
      </c>
      <c r="F13" s="71">
        <v>0.5</v>
      </c>
      <c r="G13" s="72">
        <v>1</v>
      </c>
      <c r="H13" s="73">
        <v>2</v>
      </c>
      <c r="I13" s="71">
        <v>0.2</v>
      </c>
      <c r="J13" s="72">
        <v>0.5</v>
      </c>
      <c r="K13" s="73">
        <v>2</v>
      </c>
      <c r="L13" s="71">
        <v>0.2</v>
      </c>
      <c r="M13" s="72">
        <v>0.5</v>
      </c>
      <c r="N13" s="73">
        <v>1</v>
      </c>
      <c r="O13" s="71">
        <v>0.2</v>
      </c>
      <c r="P13" s="72">
        <v>0.5</v>
      </c>
      <c r="Q13" s="73">
        <v>2</v>
      </c>
      <c r="R13" s="71">
        <v>0.2</v>
      </c>
      <c r="S13" s="72">
        <v>0.5</v>
      </c>
      <c r="T13" s="73">
        <v>2</v>
      </c>
      <c r="U13" s="71">
        <v>0.2</v>
      </c>
      <c r="V13" s="72">
        <v>0.5</v>
      </c>
      <c r="W13" s="73">
        <v>2</v>
      </c>
    </row>
    <row r="14" spans="2:23" ht="16" thickBot="1" x14ac:dyDescent="0.25">
      <c r="D14" s="86" t="s">
        <v>55</v>
      </c>
      <c r="E14" s="87" t="s">
        <v>45</v>
      </c>
      <c r="F14" s="77">
        <v>0.08</v>
      </c>
      <c r="G14" s="78">
        <v>0.1</v>
      </c>
      <c r="H14" s="79">
        <v>0.15</v>
      </c>
      <c r="I14" s="77">
        <v>0.08</v>
      </c>
      <c r="J14" s="78">
        <v>0.1</v>
      </c>
      <c r="K14" s="79">
        <v>0.15</v>
      </c>
      <c r="L14" s="77">
        <v>0.08</v>
      </c>
      <c r="M14" s="78">
        <v>0.1</v>
      </c>
      <c r="N14" s="79">
        <v>0.15</v>
      </c>
      <c r="O14" s="77">
        <v>0.08</v>
      </c>
      <c r="P14" s="78">
        <v>0.1</v>
      </c>
      <c r="Q14" s="79">
        <v>0.15</v>
      </c>
      <c r="R14" s="77">
        <v>0.08</v>
      </c>
      <c r="S14" s="78">
        <v>0.1</v>
      </c>
      <c r="T14" s="79">
        <v>0.15</v>
      </c>
      <c r="U14" s="77">
        <v>0.08</v>
      </c>
      <c r="V14" s="78">
        <v>0.1</v>
      </c>
      <c r="W14" s="79">
        <v>0.15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16D2E-EC95-1A4C-948B-7E14912B143F}">
  <sheetPr codeName="Sheet4"/>
  <dimension ref="B3:AG24"/>
  <sheetViews>
    <sheetView zoomScale="200" workbookViewId="0">
      <selection activeCell="D15" sqref="D15"/>
    </sheetView>
  </sheetViews>
  <sheetFormatPr baseColWidth="10" defaultRowHeight="15" x14ac:dyDescent="0.2"/>
  <cols>
    <col min="1" max="1" width="10.83203125" style="1"/>
    <col min="2" max="2" width="20.33203125" style="1" bestFit="1" customWidth="1"/>
    <col min="3" max="3" width="10.83203125" style="1"/>
    <col min="4" max="4" width="16" style="1" bestFit="1" customWidth="1"/>
    <col min="5" max="16384" width="10.83203125" style="1"/>
  </cols>
  <sheetData>
    <row r="3" spans="2:33" ht="19" x14ac:dyDescent="0.25">
      <c r="B3" s="36" t="s">
        <v>34</v>
      </c>
      <c r="C3" s="37">
        <v>2020</v>
      </c>
      <c r="D3" s="36" t="s">
        <v>38</v>
      </c>
    </row>
    <row r="4" spans="2:33" ht="19" x14ac:dyDescent="0.25">
      <c r="B4" s="36" t="s">
        <v>35</v>
      </c>
      <c r="C4" s="37">
        <v>2023</v>
      </c>
      <c r="D4" s="36" t="s">
        <v>39</v>
      </c>
    </row>
    <row r="5" spans="2:33" ht="19" x14ac:dyDescent="0.25">
      <c r="B5" s="36" t="s">
        <v>36</v>
      </c>
      <c r="C5" s="38">
        <v>0.35</v>
      </c>
      <c r="D5" s="36" t="s">
        <v>40</v>
      </c>
    </row>
    <row r="6" spans="2:33" ht="19" x14ac:dyDescent="0.25">
      <c r="B6" s="36" t="s">
        <v>37</v>
      </c>
      <c r="C6" s="38">
        <v>0.1</v>
      </c>
      <c r="D6" s="36" t="s">
        <v>41</v>
      </c>
    </row>
    <row r="8" spans="2:33" ht="16" thickBot="1" x14ac:dyDescent="0.25"/>
    <row r="9" spans="2:33" ht="16" thickBot="1" x14ac:dyDescent="0.25">
      <c r="B9" s="53"/>
      <c r="C9" s="54">
        <f>modelStartYear</f>
        <v>2020</v>
      </c>
      <c r="D9" s="54">
        <f>C9+1</f>
        <v>2021</v>
      </c>
      <c r="E9" s="54">
        <f t="shared" ref="E9:AG9" si="0">D9+1</f>
        <v>2022</v>
      </c>
      <c r="F9" s="54">
        <f t="shared" si="0"/>
        <v>2023</v>
      </c>
      <c r="G9" s="54">
        <f t="shared" si="0"/>
        <v>2024</v>
      </c>
      <c r="H9" s="54">
        <f t="shared" si="0"/>
        <v>2025</v>
      </c>
      <c r="I9" s="54">
        <f t="shared" si="0"/>
        <v>2026</v>
      </c>
      <c r="J9" s="54">
        <f t="shared" si="0"/>
        <v>2027</v>
      </c>
      <c r="K9" s="54">
        <f t="shared" si="0"/>
        <v>2028</v>
      </c>
      <c r="L9" s="54">
        <f t="shared" si="0"/>
        <v>2029</v>
      </c>
      <c r="M9" s="54">
        <f t="shared" si="0"/>
        <v>2030</v>
      </c>
      <c r="N9" s="54">
        <f t="shared" si="0"/>
        <v>2031</v>
      </c>
      <c r="O9" s="54">
        <f t="shared" si="0"/>
        <v>2032</v>
      </c>
      <c r="P9" s="54">
        <f t="shared" si="0"/>
        <v>2033</v>
      </c>
      <c r="Q9" s="54">
        <f t="shared" si="0"/>
        <v>2034</v>
      </c>
      <c r="R9" s="54">
        <f>Q9+1</f>
        <v>2035</v>
      </c>
      <c r="S9" s="54">
        <f t="shared" si="0"/>
        <v>2036</v>
      </c>
      <c r="T9" s="54">
        <f t="shared" si="0"/>
        <v>2037</v>
      </c>
      <c r="U9" s="54">
        <f t="shared" si="0"/>
        <v>2038</v>
      </c>
      <c r="V9" s="54">
        <f t="shared" si="0"/>
        <v>2039</v>
      </c>
      <c r="W9" s="54">
        <f t="shared" si="0"/>
        <v>2040</v>
      </c>
      <c r="X9" s="54">
        <f t="shared" si="0"/>
        <v>2041</v>
      </c>
      <c r="Y9" s="54">
        <f t="shared" si="0"/>
        <v>2042</v>
      </c>
      <c r="Z9" s="54">
        <f t="shared" si="0"/>
        <v>2043</v>
      </c>
      <c r="AA9" s="54">
        <f t="shared" si="0"/>
        <v>2044</v>
      </c>
      <c r="AB9" s="54">
        <f>AA9+1</f>
        <v>2045</v>
      </c>
      <c r="AC9" s="54">
        <f t="shared" si="0"/>
        <v>2046</v>
      </c>
      <c r="AD9" s="54">
        <f t="shared" si="0"/>
        <v>2047</v>
      </c>
      <c r="AE9" s="54">
        <f t="shared" si="0"/>
        <v>2048</v>
      </c>
      <c r="AF9" s="54">
        <f t="shared" si="0"/>
        <v>2049</v>
      </c>
      <c r="AG9" s="55">
        <f t="shared" si="0"/>
        <v>2050</v>
      </c>
    </row>
    <row r="10" spans="2:33" x14ac:dyDescent="0.2">
      <c r="B10" s="51" t="s">
        <v>56</v>
      </c>
      <c r="C10" s="41" cm="1">
        <f t="array" ref="C10:AG10">tam*(1+marketGrowthRate)^(year-modelStartYear)</f>
        <v>250</v>
      </c>
      <c r="D10" s="41">
        <v>257.5</v>
      </c>
      <c r="E10" s="41">
        <v>265.22499999999997</v>
      </c>
      <c r="F10" s="41">
        <v>273.18175000000002</v>
      </c>
      <c r="G10" s="41">
        <v>281.37720249999995</v>
      </c>
      <c r="H10" s="41">
        <v>289.81851857499998</v>
      </c>
      <c r="I10" s="41">
        <v>298.51307413224998</v>
      </c>
      <c r="J10" s="41">
        <v>307.4684663562175</v>
      </c>
      <c r="K10" s="41">
        <v>316.69252034690396</v>
      </c>
      <c r="L10" s="41">
        <v>326.19329595731114</v>
      </c>
      <c r="M10" s="41">
        <v>335.97909483603047</v>
      </c>
      <c r="N10" s="41">
        <v>346.05846768111138</v>
      </c>
      <c r="O10" s="41">
        <v>356.44022171154467</v>
      </c>
      <c r="P10" s="41">
        <v>367.13342836289098</v>
      </c>
      <c r="Q10" s="41">
        <v>378.14743121377774</v>
      </c>
      <c r="R10" s="41">
        <v>389.4918541501911</v>
      </c>
      <c r="S10" s="41">
        <v>401.17660977469677</v>
      </c>
      <c r="T10" s="41">
        <v>413.21190806793766</v>
      </c>
      <c r="U10" s="41">
        <v>425.60826530997582</v>
      </c>
      <c r="V10" s="41">
        <v>438.37651326927505</v>
      </c>
      <c r="W10" s="41">
        <v>451.52780866735333</v>
      </c>
      <c r="X10" s="41">
        <v>465.07364292737384</v>
      </c>
      <c r="Y10" s="41">
        <v>479.02585221519513</v>
      </c>
      <c r="Z10" s="41">
        <v>493.39662778165098</v>
      </c>
      <c r="AA10" s="41">
        <v>508.19852661510043</v>
      </c>
      <c r="AB10" s="41">
        <v>523.44448241355349</v>
      </c>
      <c r="AC10" s="41">
        <v>539.1478168859602</v>
      </c>
      <c r="AD10" s="41">
        <v>555.32225139253887</v>
      </c>
      <c r="AE10" s="41">
        <v>571.9819189343151</v>
      </c>
      <c r="AF10" s="41">
        <v>589.14137650234443</v>
      </c>
      <c r="AG10" s="42">
        <v>606.8156177974148</v>
      </c>
    </row>
    <row r="11" spans="2:33" x14ac:dyDescent="0.2">
      <c r="B11" s="51" t="s">
        <v>57</v>
      </c>
      <c r="C11" s="41" cm="1">
        <f t="array" ref="C11:AG11">tamSeries * penetration</f>
        <v>25</v>
      </c>
      <c r="D11" s="41">
        <v>25.75</v>
      </c>
      <c r="E11" s="41">
        <v>26.522499999999997</v>
      </c>
      <c r="F11" s="41">
        <v>27.318175000000004</v>
      </c>
      <c r="G11" s="41">
        <v>28.137720249999997</v>
      </c>
      <c r="H11" s="41">
        <v>28.981851857500001</v>
      </c>
      <c r="I11" s="41">
        <v>29.851307413225001</v>
      </c>
      <c r="J11" s="41">
        <v>30.74684663562175</v>
      </c>
      <c r="K11" s="41">
        <v>31.669252034690398</v>
      </c>
      <c r="L11" s="41">
        <v>32.619329595731116</v>
      </c>
      <c r="M11" s="41">
        <v>33.597909483603047</v>
      </c>
      <c r="N11" s="41">
        <v>34.605846768111142</v>
      </c>
      <c r="O11" s="41">
        <v>35.644022171154468</v>
      </c>
      <c r="P11" s="41">
        <v>36.713342836289101</v>
      </c>
      <c r="Q11" s="41">
        <v>37.814743121377774</v>
      </c>
      <c r="R11" s="41">
        <v>38.949185415019116</v>
      </c>
      <c r="S11" s="41">
        <v>40.117660977469683</v>
      </c>
      <c r="T11" s="41">
        <v>41.321190806793766</v>
      </c>
      <c r="U11" s="41">
        <v>42.560826530997588</v>
      </c>
      <c r="V11" s="41">
        <v>43.837651326927507</v>
      </c>
      <c r="W11" s="41">
        <v>45.152780866735334</v>
      </c>
      <c r="X11" s="41">
        <v>46.507364292737385</v>
      </c>
      <c r="Y11" s="41">
        <v>47.902585221519516</v>
      </c>
      <c r="Z11" s="41">
        <v>49.339662778165099</v>
      </c>
      <c r="AA11" s="41">
        <v>50.819852661510048</v>
      </c>
      <c r="AB11" s="41">
        <v>52.344448241355352</v>
      </c>
      <c r="AC11" s="41">
        <v>53.914781688596022</v>
      </c>
      <c r="AD11" s="41">
        <v>55.532225139253889</v>
      </c>
      <c r="AE11" s="41">
        <v>57.198191893431513</v>
      </c>
      <c r="AF11" s="41">
        <v>58.914137650234444</v>
      </c>
      <c r="AG11" s="42">
        <v>60.681561779741486</v>
      </c>
    </row>
    <row r="12" spans="2:33" x14ac:dyDescent="0.2">
      <c r="B12" s="51" t="s">
        <v>58</v>
      </c>
      <c r="C12" s="43" cm="1">
        <f t="array" ref="C12:AG12">IF(year&lt;launchYear,0,IF(year&lt;launchYear+rampToPeak,peakMktShare * (year-launchYear)/rampToPeak,IF(year&gt;launchYear+peakMarketDuration,0,peakMktShare)))</f>
        <v>0</v>
      </c>
      <c r="D12" s="43">
        <v>0</v>
      </c>
      <c r="E12" s="43">
        <v>0</v>
      </c>
      <c r="F12" s="43">
        <v>0</v>
      </c>
      <c r="G12" s="43">
        <v>0.16666666666666666</v>
      </c>
      <c r="H12" s="43">
        <v>0.33333333333333331</v>
      </c>
      <c r="I12" s="43">
        <v>0.5</v>
      </c>
      <c r="J12" s="43">
        <v>0.5</v>
      </c>
      <c r="K12" s="43">
        <v>0.5</v>
      </c>
      <c r="L12" s="43">
        <v>0.5</v>
      </c>
      <c r="M12" s="43">
        <v>0.5</v>
      </c>
      <c r="N12" s="43">
        <v>0.5</v>
      </c>
      <c r="O12" s="43">
        <v>0.5</v>
      </c>
      <c r="P12" s="43">
        <v>0.5</v>
      </c>
      <c r="Q12" s="43">
        <v>0</v>
      </c>
      <c r="R12" s="43">
        <v>0</v>
      </c>
      <c r="S12" s="43">
        <v>0</v>
      </c>
      <c r="T12" s="43">
        <v>0</v>
      </c>
      <c r="U12" s="43">
        <v>0</v>
      </c>
      <c r="V12" s="43">
        <v>0</v>
      </c>
      <c r="W12" s="43">
        <v>0</v>
      </c>
      <c r="X12" s="43">
        <v>0</v>
      </c>
      <c r="Y12" s="43">
        <v>0</v>
      </c>
      <c r="Z12" s="43">
        <v>0</v>
      </c>
      <c r="AA12" s="43">
        <v>0</v>
      </c>
      <c r="AB12" s="43">
        <v>0</v>
      </c>
      <c r="AC12" s="43">
        <v>0</v>
      </c>
      <c r="AD12" s="43">
        <v>0</v>
      </c>
      <c r="AE12" s="43">
        <v>0</v>
      </c>
      <c r="AF12" s="43">
        <v>0</v>
      </c>
      <c r="AG12" s="44">
        <v>0</v>
      </c>
    </row>
    <row r="13" spans="2:33" x14ac:dyDescent="0.2">
      <c r="B13" s="51" t="s">
        <v>59</v>
      </c>
      <c r="C13" s="41" cm="1">
        <f t="array" ref="C13:AG13">penetratedTAMSeries * marketShareSeries</f>
        <v>0</v>
      </c>
      <c r="D13" s="41">
        <v>0</v>
      </c>
      <c r="E13" s="41">
        <v>0</v>
      </c>
      <c r="F13" s="41">
        <v>0</v>
      </c>
      <c r="G13" s="41">
        <v>4.6896200416666662</v>
      </c>
      <c r="H13" s="41">
        <v>9.6606172858333323</v>
      </c>
      <c r="I13" s="41">
        <v>14.925653706612501</v>
      </c>
      <c r="J13" s="41">
        <v>15.373423317810875</v>
      </c>
      <c r="K13" s="41">
        <v>15.834626017345199</v>
      </c>
      <c r="L13" s="41">
        <v>16.309664797865558</v>
      </c>
      <c r="M13" s="41">
        <v>16.798954741801523</v>
      </c>
      <c r="N13" s="41">
        <v>17.302923384055571</v>
      </c>
      <c r="O13" s="41">
        <v>17.822011085577234</v>
      </c>
      <c r="P13" s="41">
        <v>18.356671418144551</v>
      </c>
      <c r="Q13" s="41">
        <v>0</v>
      </c>
      <c r="R13" s="41">
        <v>0</v>
      </c>
      <c r="S13" s="41">
        <v>0</v>
      </c>
      <c r="T13" s="41">
        <v>0</v>
      </c>
      <c r="U13" s="41">
        <v>0</v>
      </c>
      <c r="V13" s="41">
        <v>0</v>
      </c>
      <c r="W13" s="41">
        <v>0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41">
        <v>0</v>
      </c>
      <c r="AE13" s="41">
        <v>0</v>
      </c>
      <c r="AF13" s="41">
        <v>0</v>
      </c>
      <c r="AG13" s="42">
        <v>0</v>
      </c>
    </row>
    <row r="14" spans="2:33" x14ac:dyDescent="0.2">
      <c r="B14" s="51" t="s">
        <v>60</v>
      </c>
      <c r="C14" s="45" cm="1">
        <f t="array" ref="C14:AG14">IF(year&lt;launchYear,0,pricePerUnit * (1+priceChangeYrOnYr) ^(year-launchYear))</f>
        <v>0</v>
      </c>
      <c r="D14" s="45">
        <v>0</v>
      </c>
      <c r="E14" s="45">
        <v>0</v>
      </c>
      <c r="F14" s="45">
        <v>9</v>
      </c>
      <c r="G14" s="45">
        <v>9.18</v>
      </c>
      <c r="H14" s="45">
        <v>9.3635999999999999</v>
      </c>
      <c r="I14" s="45">
        <v>9.550872</v>
      </c>
      <c r="J14" s="45">
        <v>9.7418894399999996</v>
      </c>
      <c r="K14" s="45">
        <v>9.9367272288000006</v>
      </c>
      <c r="L14" s="45">
        <v>10.135461773376001</v>
      </c>
      <c r="M14" s="45">
        <v>10.338171008843519</v>
      </c>
      <c r="N14" s="45">
        <v>10.54493442902039</v>
      </c>
      <c r="O14" s="45">
        <v>10.755833117600798</v>
      </c>
      <c r="P14" s="45">
        <v>10.970949779952814</v>
      </c>
      <c r="Q14" s="45">
        <v>11.190368775551867</v>
      </c>
      <c r="R14" s="45">
        <v>11.414176151062907</v>
      </c>
      <c r="S14" s="45">
        <v>11.642459674084165</v>
      </c>
      <c r="T14" s="45">
        <v>11.875308867565849</v>
      </c>
      <c r="U14" s="45">
        <v>12.112815044917163</v>
      </c>
      <c r="V14" s="45">
        <v>12.355071345815508</v>
      </c>
      <c r="W14" s="45">
        <v>12.602172772731819</v>
      </c>
      <c r="X14" s="45">
        <v>12.854216228186454</v>
      </c>
      <c r="Y14" s="45">
        <v>13.111300552750183</v>
      </c>
      <c r="Z14" s="45">
        <v>13.373526563805187</v>
      </c>
      <c r="AA14" s="45">
        <v>13.640997095081291</v>
      </c>
      <c r="AB14" s="45">
        <v>13.913817036982918</v>
      </c>
      <c r="AC14" s="45">
        <v>14.192093377722573</v>
      </c>
      <c r="AD14" s="45">
        <v>14.475935245277025</v>
      </c>
      <c r="AE14" s="45">
        <v>14.765453950182566</v>
      </c>
      <c r="AF14" s="45">
        <v>15.060763029186219</v>
      </c>
      <c r="AG14" s="46">
        <v>15.36197828976994</v>
      </c>
    </row>
    <row r="15" spans="2:33" ht="16" customHeight="1" x14ac:dyDescent="0.2">
      <c r="B15" s="51" t="s">
        <v>61</v>
      </c>
      <c r="C15" s="47" cm="1">
        <f t="array" ref="C15:AG15">unitsSoldSeries * pricePerUnitSeries</f>
        <v>0</v>
      </c>
      <c r="D15" s="47">
        <v>0</v>
      </c>
      <c r="E15" s="47">
        <v>0</v>
      </c>
      <c r="F15" s="47">
        <v>0</v>
      </c>
      <c r="G15" s="47">
        <v>43.050711982499998</v>
      </c>
      <c r="H15" s="47">
        <v>90.458156017628994</v>
      </c>
      <c r="I15" s="47">
        <v>142.55300806818155</v>
      </c>
      <c r="J15" s="47">
        <v>149.76619027643153</v>
      </c>
      <c r="K15" s="47">
        <v>157.34435950441895</v>
      </c>
      <c r="L15" s="47">
        <v>165.30598409534258</v>
      </c>
      <c r="M15" s="47">
        <v>173.67046689056687</v>
      </c>
      <c r="N15" s="47">
        <v>182.4581925152296</v>
      </c>
      <c r="O15" s="47">
        <v>191.69057705650016</v>
      </c>
      <c r="P15" s="47">
        <v>201.39012025555908</v>
      </c>
      <c r="Q15" s="47">
        <v>0</v>
      </c>
      <c r="R15" s="47">
        <v>0</v>
      </c>
      <c r="S15" s="47">
        <v>0</v>
      </c>
      <c r="T15" s="47">
        <v>0</v>
      </c>
      <c r="U15" s="47">
        <v>0</v>
      </c>
      <c r="V15" s="47">
        <v>0</v>
      </c>
      <c r="W15" s="47">
        <v>0</v>
      </c>
      <c r="X15" s="47">
        <v>0</v>
      </c>
      <c r="Y15" s="47">
        <v>0</v>
      </c>
      <c r="Z15" s="47">
        <v>0</v>
      </c>
      <c r="AA15" s="47">
        <v>0</v>
      </c>
      <c r="AB15" s="47">
        <v>0</v>
      </c>
      <c r="AC15" s="47">
        <v>0</v>
      </c>
      <c r="AD15" s="47">
        <v>0</v>
      </c>
      <c r="AE15" s="47">
        <v>0</v>
      </c>
      <c r="AF15" s="47">
        <v>0</v>
      </c>
      <c r="AG15" s="48">
        <v>0</v>
      </c>
    </row>
    <row r="16" spans="2:33" x14ac:dyDescent="0.2">
      <c r="B16" s="51" t="s">
        <v>62</v>
      </c>
      <c r="C16" s="47" cm="1">
        <f t="array" ref="C16:AG16">unitsSoldSeries * costPerUnit</f>
        <v>0</v>
      </c>
      <c r="D16" s="47">
        <v>0</v>
      </c>
      <c r="E16" s="47">
        <v>0</v>
      </c>
      <c r="F16" s="47">
        <v>0</v>
      </c>
      <c r="G16" s="47">
        <v>4.6896200416666662</v>
      </c>
      <c r="H16" s="47">
        <v>9.6606172858333323</v>
      </c>
      <c r="I16" s="47">
        <v>14.925653706612501</v>
      </c>
      <c r="J16" s="47">
        <v>15.373423317810875</v>
      </c>
      <c r="K16" s="47">
        <v>15.834626017345199</v>
      </c>
      <c r="L16" s="47">
        <v>16.309664797865558</v>
      </c>
      <c r="M16" s="47">
        <v>16.798954741801523</v>
      </c>
      <c r="N16" s="47">
        <v>17.302923384055571</v>
      </c>
      <c r="O16" s="47">
        <v>17.822011085577234</v>
      </c>
      <c r="P16" s="47">
        <v>18.356671418144551</v>
      </c>
      <c r="Q16" s="47">
        <v>0</v>
      </c>
      <c r="R16" s="47">
        <v>0</v>
      </c>
      <c r="S16" s="47">
        <v>0</v>
      </c>
      <c r="T16" s="47">
        <v>0</v>
      </c>
      <c r="U16" s="47">
        <v>0</v>
      </c>
      <c r="V16" s="47">
        <v>0</v>
      </c>
      <c r="W16" s="47">
        <v>0</v>
      </c>
      <c r="X16" s="47">
        <v>0</v>
      </c>
      <c r="Y16" s="47">
        <v>0</v>
      </c>
      <c r="Z16" s="47">
        <v>0</v>
      </c>
      <c r="AA16" s="47">
        <v>0</v>
      </c>
      <c r="AB16" s="47">
        <v>0</v>
      </c>
      <c r="AC16" s="47">
        <v>0</v>
      </c>
      <c r="AD16" s="47">
        <v>0</v>
      </c>
      <c r="AE16" s="47">
        <v>0</v>
      </c>
      <c r="AF16" s="47">
        <v>0</v>
      </c>
      <c r="AG16" s="48">
        <v>0</v>
      </c>
    </row>
    <row r="17" spans="2:33" x14ac:dyDescent="0.2">
      <c r="B17" s="51" t="s">
        <v>63</v>
      </c>
      <c r="C17" s="47" cm="1">
        <f t="array" ref="C17:AG17">opRevenueSeries - opCostSeries</f>
        <v>0</v>
      </c>
      <c r="D17" s="47">
        <v>0</v>
      </c>
      <c r="E17" s="47">
        <v>0</v>
      </c>
      <c r="F17" s="47">
        <v>0</v>
      </c>
      <c r="G17" s="47">
        <v>38.361091940833333</v>
      </c>
      <c r="H17" s="47">
        <v>80.797538731795669</v>
      </c>
      <c r="I17" s="47">
        <v>127.62735436156905</v>
      </c>
      <c r="J17" s="47">
        <v>134.39276695862065</v>
      </c>
      <c r="K17" s="47">
        <v>141.50973348707376</v>
      </c>
      <c r="L17" s="47">
        <v>148.99631929747702</v>
      </c>
      <c r="M17" s="47">
        <v>156.87151214876536</v>
      </c>
      <c r="N17" s="47">
        <v>165.15526913117404</v>
      </c>
      <c r="O17" s="47">
        <v>173.86856597092293</v>
      </c>
      <c r="P17" s="47">
        <v>183.03344883741454</v>
      </c>
      <c r="Q17" s="47">
        <v>0</v>
      </c>
      <c r="R17" s="47">
        <v>0</v>
      </c>
      <c r="S17" s="47">
        <v>0</v>
      </c>
      <c r="T17" s="47">
        <v>0</v>
      </c>
      <c r="U17" s="47">
        <v>0</v>
      </c>
      <c r="V17" s="47">
        <v>0</v>
      </c>
      <c r="W17" s="47">
        <v>0</v>
      </c>
      <c r="X17" s="47">
        <v>0</v>
      </c>
      <c r="Y17" s="47">
        <v>0</v>
      </c>
      <c r="Z17" s="47">
        <v>0</v>
      </c>
      <c r="AA17" s="47">
        <v>0</v>
      </c>
      <c r="AB17" s="47">
        <v>0</v>
      </c>
      <c r="AC17" s="47">
        <v>0</v>
      </c>
      <c r="AD17" s="47">
        <v>0</v>
      </c>
      <c r="AE17" s="47">
        <v>0</v>
      </c>
      <c r="AF17" s="47">
        <v>0</v>
      </c>
      <c r="AG17" s="48">
        <v>0</v>
      </c>
    </row>
    <row r="18" spans="2:33" x14ac:dyDescent="0.2">
      <c r="B18" s="51" t="s">
        <v>55</v>
      </c>
      <c r="C18" s="47" cm="1">
        <f t="array" ref="C18:AG18">sgAndA * opRevenueSeries</f>
        <v>0</v>
      </c>
      <c r="D18" s="47">
        <v>0</v>
      </c>
      <c r="E18" s="47">
        <v>0</v>
      </c>
      <c r="F18" s="47">
        <v>0</v>
      </c>
      <c r="G18" s="47">
        <v>4.3050711982500003</v>
      </c>
      <c r="H18" s="47">
        <v>9.0458156017629001</v>
      </c>
      <c r="I18" s="47">
        <v>14.255300806818155</v>
      </c>
      <c r="J18" s="47">
        <v>14.976619027643153</v>
      </c>
      <c r="K18" s="47">
        <v>15.734435950441895</v>
      </c>
      <c r="L18" s="47">
        <v>16.53059840953426</v>
      </c>
      <c r="M18" s="47">
        <v>17.367046689056689</v>
      </c>
      <c r="N18" s="47">
        <v>18.24581925152296</v>
      </c>
      <c r="O18" s="47">
        <v>19.169057705650015</v>
      </c>
      <c r="P18" s="47">
        <v>20.13901202555591</v>
      </c>
      <c r="Q18" s="47">
        <v>0</v>
      </c>
      <c r="R18" s="47">
        <v>0</v>
      </c>
      <c r="S18" s="47">
        <v>0</v>
      </c>
      <c r="T18" s="47">
        <v>0</v>
      </c>
      <c r="U18" s="47">
        <v>0</v>
      </c>
      <c r="V18" s="47">
        <v>0</v>
      </c>
      <c r="W18" s="47">
        <v>0</v>
      </c>
      <c r="X18" s="47">
        <v>0</v>
      </c>
      <c r="Y18" s="47">
        <v>0</v>
      </c>
      <c r="Z18" s="47">
        <v>0</v>
      </c>
      <c r="AA18" s="47">
        <v>0</v>
      </c>
      <c r="AB18" s="47">
        <v>0</v>
      </c>
      <c r="AC18" s="47">
        <v>0</v>
      </c>
      <c r="AD18" s="47">
        <v>0</v>
      </c>
      <c r="AE18" s="47">
        <v>0</v>
      </c>
      <c r="AF18" s="47">
        <v>0</v>
      </c>
      <c r="AG18" s="48">
        <v>0</v>
      </c>
    </row>
    <row r="19" spans="2:33" x14ac:dyDescent="0.2">
      <c r="B19" s="51" t="s">
        <v>64</v>
      </c>
      <c r="C19" s="47" cm="1">
        <f t="array" ref="C19:AG19">opMarginSeries - sgAndASeries</f>
        <v>0</v>
      </c>
      <c r="D19" s="47">
        <v>0</v>
      </c>
      <c r="E19" s="47">
        <v>0</v>
      </c>
      <c r="F19" s="47">
        <v>0</v>
      </c>
      <c r="G19" s="47">
        <v>34.056020742583335</v>
      </c>
      <c r="H19" s="47">
        <v>71.751723130032772</v>
      </c>
      <c r="I19" s="47">
        <v>113.37205355475089</v>
      </c>
      <c r="J19" s="47">
        <v>119.4161479309775</v>
      </c>
      <c r="K19" s="47">
        <v>125.77529753663187</v>
      </c>
      <c r="L19" s="47">
        <v>132.46572088794275</v>
      </c>
      <c r="M19" s="47">
        <v>139.50446545970868</v>
      </c>
      <c r="N19" s="47">
        <v>146.90944987965108</v>
      </c>
      <c r="O19" s="47">
        <v>154.69950826527293</v>
      </c>
      <c r="P19" s="47">
        <v>162.89443681185864</v>
      </c>
      <c r="Q19" s="47">
        <v>0</v>
      </c>
      <c r="R19" s="47">
        <v>0</v>
      </c>
      <c r="S19" s="47">
        <v>0</v>
      </c>
      <c r="T19" s="47">
        <v>0</v>
      </c>
      <c r="U19" s="47">
        <v>0</v>
      </c>
      <c r="V19" s="47">
        <v>0</v>
      </c>
      <c r="W19" s="47">
        <v>0</v>
      </c>
      <c r="X19" s="47">
        <v>0</v>
      </c>
      <c r="Y19" s="47">
        <v>0</v>
      </c>
      <c r="Z19" s="47">
        <v>0</v>
      </c>
      <c r="AA19" s="47">
        <v>0</v>
      </c>
      <c r="AB19" s="47">
        <v>0</v>
      </c>
      <c r="AC19" s="47">
        <v>0</v>
      </c>
      <c r="AD19" s="47">
        <v>0</v>
      </c>
      <c r="AE19" s="47">
        <v>0</v>
      </c>
      <c r="AF19" s="47">
        <v>0</v>
      </c>
      <c r="AG19" s="48">
        <v>0</v>
      </c>
    </row>
    <row r="20" spans="2:33" x14ac:dyDescent="0.2">
      <c r="B20" s="51" t="s">
        <v>65</v>
      </c>
      <c r="C20" s="47" cm="1">
        <f t="array" ref="C20:AG20">netMarginSeries * taxRate</f>
        <v>0</v>
      </c>
      <c r="D20" s="47">
        <v>0</v>
      </c>
      <c r="E20" s="47">
        <v>0</v>
      </c>
      <c r="F20" s="47">
        <v>0</v>
      </c>
      <c r="G20" s="47">
        <v>11.919607259904167</v>
      </c>
      <c r="H20" s="47">
        <v>25.11310309551147</v>
      </c>
      <c r="I20" s="47">
        <v>39.680218744162808</v>
      </c>
      <c r="J20" s="47">
        <v>41.795651775842124</v>
      </c>
      <c r="K20" s="47">
        <v>44.021354137821149</v>
      </c>
      <c r="L20" s="47">
        <v>46.363002310779962</v>
      </c>
      <c r="M20" s="47">
        <v>48.826562910898033</v>
      </c>
      <c r="N20" s="47">
        <v>51.418307457877873</v>
      </c>
      <c r="O20" s="47">
        <v>54.14482789284552</v>
      </c>
      <c r="P20" s="47">
        <v>57.013052884150518</v>
      </c>
      <c r="Q20" s="47">
        <v>0</v>
      </c>
      <c r="R20" s="47">
        <v>0</v>
      </c>
      <c r="S20" s="47">
        <v>0</v>
      </c>
      <c r="T20" s="47">
        <v>0</v>
      </c>
      <c r="U20" s="47">
        <v>0</v>
      </c>
      <c r="V20" s="47">
        <v>0</v>
      </c>
      <c r="W20" s="47">
        <v>0</v>
      </c>
      <c r="X20" s="47">
        <v>0</v>
      </c>
      <c r="Y20" s="47">
        <v>0</v>
      </c>
      <c r="Z20" s="47">
        <v>0</v>
      </c>
      <c r="AA20" s="47">
        <v>0</v>
      </c>
      <c r="AB20" s="47">
        <v>0</v>
      </c>
      <c r="AC20" s="47">
        <v>0</v>
      </c>
      <c r="AD20" s="47">
        <v>0</v>
      </c>
      <c r="AE20" s="47">
        <v>0</v>
      </c>
      <c r="AF20" s="47">
        <v>0</v>
      </c>
      <c r="AG20" s="48">
        <v>0</v>
      </c>
    </row>
    <row r="21" spans="2:33" ht="16" thickBot="1" x14ac:dyDescent="0.25">
      <c r="B21" s="52" t="s">
        <v>66</v>
      </c>
      <c r="C21" s="49" cm="1">
        <f t="array" ref="C21:AG21">netMarginSeries - taxesSeries</f>
        <v>0</v>
      </c>
      <c r="D21" s="49">
        <v>0</v>
      </c>
      <c r="E21" s="49">
        <v>0</v>
      </c>
      <c r="F21" s="49">
        <v>0</v>
      </c>
      <c r="G21" s="49">
        <v>22.136413482679167</v>
      </c>
      <c r="H21" s="49">
        <v>46.638620034521303</v>
      </c>
      <c r="I21" s="49">
        <v>73.691834810588091</v>
      </c>
      <c r="J21" s="49">
        <v>77.620496155135385</v>
      </c>
      <c r="K21" s="49">
        <v>81.753943398810719</v>
      </c>
      <c r="L21" s="49">
        <v>86.10271857716279</v>
      </c>
      <c r="M21" s="49">
        <v>90.67790254881065</v>
      </c>
      <c r="N21" s="49">
        <v>95.491142421773205</v>
      </c>
      <c r="O21" s="49">
        <v>100.55468037242741</v>
      </c>
      <c r="P21" s="49">
        <v>105.88138392770813</v>
      </c>
      <c r="Q21" s="49">
        <v>0</v>
      </c>
      <c r="R21" s="49">
        <v>0</v>
      </c>
      <c r="S21" s="49">
        <v>0</v>
      </c>
      <c r="T21" s="49">
        <v>0</v>
      </c>
      <c r="U21" s="49">
        <v>0</v>
      </c>
      <c r="V21" s="49">
        <v>0</v>
      </c>
      <c r="W21" s="49">
        <v>0</v>
      </c>
      <c r="X21" s="49">
        <v>0</v>
      </c>
      <c r="Y21" s="49">
        <v>0</v>
      </c>
      <c r="Z21" s="49">
        <v>0</v>
      </c>
      <c r="AA21" s="49">
        <v>0</v>
      </c>
      <c r="AB21" s="49">
        <v>0</v>
      </c>
      <c r="AC21" s="49">
        <v>0</v>
      </c>
      <c r="AD21" s="49">
        <v>0</v>
      </c>
      <c r="AE21" s="49">
        <v>0</v>
      </c>
      <c r="AF21" s="49">
        <v>0</v>
      </c>
      <c r="AG21" s="50">
        <v>0</v>
      </c>
    </row>
    <row r="22" spans="2:33" ht="16" thickBot="1" x14ac:dyDescent="0.25">
      <c r="C22" s="32"/>
    </row>
    <row r="23" spans="2:33" ht="22" thickBot="1" x14ac:dyDescent="0.3">
      <c r="B23" s="56" t="s">
        <v>67</v>
      </c>
      <c r="C23" s="57">
        <f>NPV(discountRate, ebitdaSeries)</f>
        <v>301.18279113208018</v>
      </c>
    </row>
    <row r="24" spans="2:33" x14ac:dyDescent="0.2">
      <c r="C24" s="3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47</vt:i4>
      </vt:variant>
    </vt:vector>
  </HeadingPairs>
  <TitlesOfParts>
    <vt:vector size="51" baseType="lpstr">
      <vt:lpstr>License</vt:lpstr>
      <vt:lpstr>Tornado</vt:lpstr>
      <vt:lpstr>PricingStrategies</vt:lpstr>
      <vt:lpstr>PricingModel</vt:lpstr>
      <vt:lpstr>cHigh</vt:lpstr>
      <vt:lpstr>cLow</vt:lpstr>
      <vt:lpstr>cMed</vt:lpstr>
      <vt:lpstr>costPerUnit</vt:lpstr>
      <vt:lpstr>currentStrategyName</vt:lpstr>
      <vt:lpstr>discountRate</vt:lpstr>
      <vt:lpstr>dist</vt:lpstr>
      <vt:lpstr>ebitdaSeries</vt:lpstr>
      <vt:lpstr>factor1</vt:lpstr>
      <vt:lpstr>factor2</vt:lpstr>
      <vt:lpstr>factor3</vt:lpstr>
      <vt:lpstr>factor4</vt:lpstr>
      <vt:lpstr>factorLocations</vt:lpstr>
      <vt:lpstr>launchYear</vt:lpstr>
      <vt:lpstr>marketGrowthRate</vt:lpstr>
      <vt:lpstr>marketShareSeries</vt:lpstr>
      <vt:lpstr>modelStartYear</vt:lpstr>
      <vt:lpstr>netMarginSeries</vt:lpstr>
      <vt:lpstr>npvOfEBITDA</vt:lpstr>
      <vt:lpstr>opCostSeries</vt:lpstr>
      <vt:lpstr>opMarginSeries</vt:lpstr>
      <vt:lpstr>opRevenueSeries</vt:lpstr>
      <vt:lpstr>output</vt:lpstr>
      <vt:lpstr>pasteLoc</vt:lpstr>
      <vt:lpstr>peakMarketDuration</vt:lpstr>
      <vt:lpstr>peakMktShare</vt:lpstr>
      <vt:lpstr>penetratedTAMSeries</vt:lpstr>
      <vt:lpstr>penetration</vt:lpstr>
      <vt:lpstr>priceChangeYrOnYr</vt:lpstr>
      <vt:lpstr>pricePerUnit</vt:lpstr>
      <vt:lpstr>pricePerUnitSeries</vt:lpstr>
      <vt:lpstr>rampToPeak</vt:lpstr>
      <vt:lpstr>selectedPricingStrategy</vt:lpstr>
      <vt:lpstr>sgAndA</vt:lpstr>
      <vt:lpstr>sgAndASeries</vt:lpstr>
      <vt:lpstr>sixStrategies</vt:lpstr>
      <vt:lpstr>sortTable</vt:lpstr>
      <vt:lpstr>tam</vt:lpstr>
      <vt:lpstr>tamSeries</vt:lpstr>
      <vt:lpstr>taxesSeries</vt:lpstr>
      <vt:lpstr>taxRate</vt:lpstr>
      <vt:lpstr>tornadoInputTable</vt:lpstr>
      <vt:lpstr>tornadoOutputTable</vt:lpstr>
      <vt:lpstr>treeTable</vt:lpstr>
      <vt:lpstr>unitsOfOutput</vt:lpstr>
      <vt:lpstr>unitsSoldSeries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Somik Raha</dc:creator>
  <cp:lastModifiedBy>Microsoft Office User</cp:lastModifiedBy>
  <dcterms:created xsi:type="dcterms:W3CDTF">2011-09-01T18:21:38Z</dcterms:created>
  <dcterms:modified xsi:type="dcterms:W3CDTF">2020-07-09T22:35:28Z</dcterms:modified>
</cp:coreProperties>
</file>